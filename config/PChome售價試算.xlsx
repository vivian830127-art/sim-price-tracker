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叫貨表1" sheetId="1" r:id="rId5"/>
  </sheets>
  <definedNames>
    <definedName hidden="1" localSheetId="0" name="_xlnm._FilterDatabase">'PC叫貨表1'!$D$3:$AD$49</definedName>
  </definedNames>
  <calcPr/>
</workbook>
</file>

<file path=xl/sharedStrings.xml><?xml version="1.0" encoding="utf-8"?>
<sst xmlns="http://schemas.openxmlformats.org/spreadsheetml/2006/main" count="359" uniqueCount="192">
  <si>
    <t>商品ID</t>
  </si>
  <si>
    <t>料號</t>
  </si>
  <si>
    <t>標籤產品名稱</t>
  </si>
  <si>
    <t>加值方案</t>
  </si>
  <si>
    <t>APN標籤</t>
  </si>
  <si>
    <t>天數</t>
  </si>
  <si>
    <t>國家</t>
  </si>
  <si>
    <t>用量</t>
  </si>
  <si>
    <t>參考連結</t>
  </si>
  <si>
    <t>平台</t>
  </si>
  <si>
    <t>浮動報價
(紅漲 / 藍降)</t>
  </si>
  <si>
    <t>單件成本</t>
  </si>
  <si>
    <t>售價</t>
  </si>
  <si>
    <t>商品數量</t>
  </si>
  <si>
    <t>總成本價</t>
  </si>
  <si>
    <t>銷售成本</t>
  </si>
  <si>
    <t>單件毛利</t>
  </si>
  <si>
    <t>總毛利</t>
  </si>
  <si>
    <t>單品利潤</t>
  </si>
  <si>
    <t>總利潤</t>
  </si>
  <si>
    <t>網路類型</t>
  </si>
  <si>
    <t>平台抽成設定</t>
  </si>
  <si>
    <t>前毛(可動)</t>
  </si>
  <si>
    <t>進價</t>
  </si>
  <si>
    <t>後扣</t>
  </si>
  <si>
    <t>物流空卡費</t>
  </si>
  <si>
    <t>前毛</t>
  </si>
  <si>
    <t>物流費</t>
  </si>
  <si>
    <t>DYAU0B-A900K4JV8</t>
  </si>
  <si>
    <t>日本吃到飽不降速3天</t>
  </si>
  <si>
    <t>日本, 無限量/天</t>
  </si>
  <si>
    <r>
      <rPr>
        <rFont val="Arial"/>
        <b/>
        <color rgb="FF1F1F1F"/>
        <sz val="11.0"/>
      </rPr>
      <t>APN：</t>
    </r>
    <r>
      <rPr>
        <rFont val="Arial"/>
        <b/>
        <color rgb="FF1F1F1F"/>
        <sz val="11.0"/>
      </rPr>
      <t xml:space="preserve">mobile.three.com.hk
</t>
    </r>
    <r>
      <rPr>
        <rFont val="Arial"/>
        <b/>
        <color rgb="FF1F1F1F"/>
        <sz val="11.0"/>
      </rPr>
      <t>電信：Docomo、Rakuten Mobile、KDDI</t>
    </r>
  </si>
  <si>
    <t>日本</t>
  </si>
  <si>
    <t>不限流</t>
  </si>
  <si>
    <t>https://24h.pchome.com.tw/prod/DYAU0B-A900FYWBN</t>
  </si>
  <si>
    <t>PChome</t>
  </si>
  <si>
    <t>5G/4G</t>
  </si>
  <si>
    <t>蝦皮</t>
  </si>
  <si>
    <t>DYAU0B-A900K4O6S</t>
  </si>
  <si>
    <t>日本吃到飽不降速5天</t>
  </si>
  <si>
    <t>https://24h.pchome.com.tw/prod/DYAU0B-A900FZ5BO</t>
  </si>
  <si>
    <t>MOMO</t>
  </si>
  <si>
    <t>DYAU0B-A900K4O8A</t>
  </si>
  <si>
    <t>日本吃到飽不降速7天</t>
  </si>
  <si>
    <t>https://24h.pchome.com.tw/prod/DYAU0B-A900GL52V</t>
  </si>
  <si>
    <t>MOMO esim</t>
  </si>
  <si>
    <t>https://24h.pchome.com.tw/prod/DYAU0B-A900IXTDD</t>
  </si>
  <si>
    <t>DYAU0B-A900K4O9J</t>
  </si>
  <si>
    <t>日本1GB吃到飽5天</t>
  </si>
  <si>
    <t>日本, 1GB/天, 128kbps</t>
  </si>
  <si>
    <t>APN：mobile.three.com.hk
電信：Docomo、Rakuten Mobile、KDDI</t>
  </si>
  <si>
    <t>1G/日</t>
  </si>
  <si>
    <t>Fastmove 飛速移動5天日本上網卡每日1GB高速流量吃到飽</t>
  </si>
  <si>
    <t>PChome Esim</t>
  </si>
  <si>
    <t>DYAU0B-A900K4OC9</t>
  </si>
  <si>
    <t>日本1GB吃到飽7天</t>
  </si>
  <si>
    <t>https://24h.pchome.com.tw/prod/DYAU0B-A900IXTPB</t>
  </si>
  <si>
    <t>和泰</t>
  </si>
  <si>
    <t>https://24h.pchome.com.tw/prod/DYAU0D-A900FY49V</t>
  </si>
  <si>
    <t>DYAU0B-A900K4OEB</t>
  </si>
  <si>
    <t>日本總量型5天10GB</t>
  </si>
  <si>
    <t xml:space="preserve">日本, 5天, 10GB
</t>
  </si>
  <si>
    <t>總量</t>
  </si>
  <si>
    <t>https://24h.pchome.com.tw/prod/DYAU0B-A900GRZUU</t>
  </si>
  <si>
    <t>DYAU0W-A900K4O2R</t>
  </si>
  <si>
    <t>韓國吃到飽不降速5天</t>
  </si>
  <si>
    <t xml:space="preserve">	韓國, 無限量/天</t>
  </si>
  <si>
    <r>
      <rPr>
        <rFont val="Arial"/>
        <b/>
        <color rgb="FF1F1F1F"/>
        <sz val="11.0"/>
      </rPr>
      <t>APN：</t>
    </r>
    <r>
      <rPr>
        <rFont val="Arial"/>
        <b/>
        <color rgb="FF1F1F1F"/>
        <sz val="11.0"/>
      </rPr>
      <t xml:space="preserve">mobile.three.com.hk
</t>
    </r>
    <r>
      <rPr>
        <rFont val="Arial"/>
        <b/>
        <color rgb="FF1F1F1F"/>
        <sz val="11.0"/>
      </rPr>
      <t>電信：SK Telecom、LG</t>
    </r>
  </si>
  <si>
    <t>韓國</t>
  </si>
  <si>
    <t>https://24h.pchome.com.tw/prod/DYAU0W-A900FYWL6</t>
  </si>
  <si>
    <t>DYAU0W-A900K4XAT</t>
  </si>
  <si>
    <t>韓國吃到飽不降速8天</t>
  </si>
  <si>
    <t>https://24h.pchome.com.tw/prod/DYAU0W-A900FYWKU</t>
  </si>
  <si>
    <t>https://24h.pchome.com.tw/prod/DYAU0W-A900FYWKV</t>
  </si>
  <si>
    <t>陽信</t>
  </si>
  <si>
    <t>DYAU0W-A900K4OMB</t>
  </si>
  <si>
    <t>韓國2GB吃到飽5天</t>
  </si>
  <si>
    <t>韓國, 2GB/天, 128kbps</t>
  </si>
  <si>
    <r>
      <rPr>
        <rFont val="Arial"/>
        <b/>
        <color rgb="FF1F1F1F"/>
        <sz val="11.0"/>
      </rPr>
      <t>APN：</t>
    </r>
    <r>
      <rPr>
        <rFont val="Arial"/>
        <b/>
        <color rgb="FF1F1F1F"/>
        <sz val="11.0"/>
      </rPr>
      <t xml:space="preserve">mobile.three.com.hk
</t>
    </r>
    <r>
      <rPr>
        <rFont val="Arial"/>
        <b/>
        <color rgb="FF1F1F1F"/>
        <sz val="11.0"/>
      </rPr>
      <t>電信：SK Telecom、LG</t>
    </r>
  </si>
  <si>
    <t>2G/日</t>
  </si>
  <si>
    <t>https://24h.pchome.com.tw/prod/DYAU0W-A900G3UTS</t>
  </si>
  <si>
    <t>全聯</t>
  </si>
  <si>
    <t>DYAU0W-A900K4ONH</t>
  </si>
  <si>
    <t>韓國2GB吃到飽8天</t>
  </si>
  <si>
    <t>https://24h.pchome.com.tw/prod/DYAU0W-A900G3UUC</t>
  </si>
  <si>
    <t xml:space="preserve"> 2025 蝦皮</t>
  </si>
  <si>
    <t>https://24h.pchome.com.tw/prod/DYAU0W-A900G3UTX</t>
  </si>
  <si>
    <t>DYAU0W-A900K4OOJ</t>
  </si>
  <si>
    <t>韓國1GB吃到飽5天</t>
  </si>
  <si>
    <t>韓國, 1GB/天, 128kbps</t>
  </si>
  <si>
    <r>
      <rPr>
        <rFont val="Arial"/>
        <b/>
        <color rgb="FF1F1F1F"/>
        <sz val="11.0"/>
      </rPr>
      <t>APN：</t>
    </r>
    <r>
      <rPr>
        <rFont val="Arial"/>
        <b/>
        <color rgb="FF1F1F1F"/>
        <sz val="11.0"/>
      </rPr>
      <t xml:space="preserve">mobile.three.com.hk
</t>
    </r>
    <r>
      <rPr>
        <rFont val="Arial"/>
        <b/>
        <color rgb="FF1F1F1F"/>
        <sz val="11.0"/>
      </rPr>
      <t>電信：SK Telecom、LG</t>
    </r>
  </si>
  <si>
    <t>https://24h.pchome.com.tw/prod/DYAU0W-A900G3NIH</t>
  </si>
  <si>
    <t>DYAU0W-A900K4OQ2</t>
  </si>
  <si>
    <t>韓國1GB吃到飽8天</t>
  </si>
  <si>
    <t>https://24h.pchome.com.tw/prod/DYAU0W-A900G3NI7</t>
  </si>
  <si>
    <t>https://24h.pchome.com.tw/prod/DYAU0W-A900G3NIL</t>
  </si>
  <si>
    <t>DYAU0W-A900K4XDX</t>
  </si>
  <si>
    <t>越南吃到飽不降速3天</t>
  </si>
  <si>
    <t>越南Wintel, 無限量/天</t>
  </si>
  <si>
    <t>APN：m9-wintel
電信：wintel</t>
  </si>
  <si>
    <t>越南</t>
  </si>
  <si>
    <t>https://24h.pchome.com.tw/prod/DYAU0Z-A900FYXGU</t>
  </si>
  <si>
    <t>4G</t>
  </si>
  <si>
    <t>DYAU0Z-A900K4XEA</t>
  </si>
  <si>
    <t>越南吃到飽不降速5天</t>
  </si>
  <si>
    <t>越南Wintel, 5天, 無限量/天</t>
  </si>
  <si>
    <t>https://24h.pchome.com.tw/prod/DYAU0Z-A900FYXNP</t>
  </si>
  <si>
    <t>DYAU0Z-A900K4XGR</t>
  </si>
  <si>
    <t>越南吃到飽不降速8天</t>
  </si>
  <si>
    <t>越南Wintel, 15天, 無限量/天</t>
  </si>
  <si>
    <t>https://24h.pchome.com.tw/prod/DYAU0Z-A900FYXNT</t>
  </si>
  <si>
    <t>DYAU0Z-A900K4XIA</t>
  </si>
  <si>
    <t>越南吃到飽不降速10天</t>
  </si>
  <si>
    <t>https://24h.pchome.com.tw/prod/DYAU0Z-A900FYXOS</t>
  </si>
  <si>
    <t>DYAU0Y-A900K4XOZ</t>
  </si>
  <si>
    <t>泰國1GB吃到飽3天</t>
  </si>
  <si>
    <t>新印泰, 1GB/天, 128kbps</t>
  </si>
  <si>
    <t>APN：mobile.three.com.hk
電信：AIS 、 True Move</t>
  </si>
  <si>
    <t>泰國</t>
  </si>
  <si>
    <t>https://24h.pchome.com.tw/prod/DYAU13-A900G3OOY</t>
  </si>
  <si>
    <t>DYAU0Y-A900K4XQ7</t>
  </si>
  <si>
    <t>泰國1GB吃到飽5天</t>
  </si>
  <si>
    <t>https://24h.pchome.com.tw/prod/DYAU13-A900G3OPM</t>
  </si>
  <si>
    <t>DYAU0Y-A900K4XS9</t>
  </si>
  <si>
    <t>泰國吃到飽不降速5天</t>
  </si>
  <si>
    <t>泰國, 無限量/天, 10mbps</t>
  </si>
  <si>
    <t>APN：internet 
電信：TRUE</t>
  </si>
  <si>
    <t>https://24h.pchome.com.tw/prod/DYAU0Y-A900JUAYE</t>
  </si>
  <si>
    <t>DYAU0Y-A900K4XUC</t>
  </si>
  <si>
    <t>泰國吃到飽不降速6天</t>
  </si>
  <si>
    <t>https://24h.pchome.com.tw/prod/DYAU0Y-A900JUB1S</t>
  </si>
  <si>
    <t>https://24h.pchome.com.tw/prod/DYAU0Y-A900JUB6M</t>
  </si>
  <si>
    <t>DYAU13-A900K4XWA</t>
  </si>
  <si>
    <t>新馬1GB吃到飽3天</t>
  </si>
  <si>
    <t>新馬, 1GB/天, 128kbps</t>
  </si>
  <si>
    <t>APN：mobile.three.com.hk
電信：新加坡 Simba、Starhub / 馬來西亞 Digi、Celcom、U Mobile</t>
  </si>
  <si>
    <t>新馬</t>
  </si>
  <si>
    <t>https://24h.pchome.com.tw/prod/DYAU13-A900G3ORX</t>
  </si>
  <si>
    <t>DYAU13-A900K4XZT</t>
  </si>
  <si>
    <t>新馬1GB吃到飽5天</t>
  </si>
  <si>
    <t>https://24h.pchome.com.tw/prod/DYAU13-A900G3ORH</t>
  </si>
  <si>
    <t>https://24h.pchome.com.tw/prod/DYAU13-A900G3ORL</t>
  </si>
  <si>
    <t>DYAU13-A900K4Y0Z</t>
  </si>
  <si>
    <t>新馬吃到飽不降速3天</t>
  </si>
  <si>
    <r>
      <rPr>
        <rFont val="Arial"/>
        <b/>
        <color theme="1"/>
        <sz val="11.0"/>
      </rPr>
      <t xml:space="preserve">新馬, 無限量/天
</t>
    </r>
    <r>
      <rPr>
        <rFont val="Arial"/>
        <b/>
        <color rgb="FFFFFFFF"/>
        <sz val="11.0"/>
      </rPr>
      <t>馬來西亞, 無限量/天 ($21)</t>
    </r>
  </si>
  <si>
    <t>https://24h.pchome.com.tw/prod/DYAU13-A900G1B1F</t>
  </si>
  <si>
    <t>DYAU13-A900K4Y1P</t>
  </si>
  <si>
    <t>新馬吃到飽不降速5天</t>
  </si>
  <si>
    <t>https://24h.pchome.com.tw/prod/DYAU13-A900G1B43</t>
  </si>
  <si>
    <t>DYAU13-A900K4Y2M</t>
  </si>
  <si>
    <t>新馬吃到飽不降速8天</t>
  </si>
  <si>
    <t>https://24h.pchome.com.tw/prod/DYAU13-A900G1B4I</t>
  </si>
  <si>
    <t>https://24h.pchome.com.tw/prod/DYAU13-A900G1B4M</t>
  </si>
  <si>
    <t>DYAU0U-A900K4OZG</t>
  </si>
  <si>
    <t>港澳吃到飽不降速3天</t>
  </si>
  <si>
    <t>港澳, 無限量/天</t>
  </si>
  <si>
    <t>APN：CTExcel
電信：China Telecom</t>
  </si>
  <si>
    <t>港澳</t>
  </si>
  <si>
    <t>https://24h.pchome.com.tw/prod/DYAU0U-A900GFZZE</t>
  </si>
  <si>
    <t>DYAU0U-A900K4P04</t>
  </si>
  <si>
    <t>港澳吃到飽不降速4天</t>
  </si>
  <si>
    <t>https://24h.pchome.com.tw/prod/DYAU0U-A900GG02E</t>
  </si>
  <si>
    <t>DYAU0U-A900K4P0V</t>
  </si>
  <si>
    <t>港澳吃到飽不降速5天</t>
  </si>
  <si>
    <t>https://24h.pchome.com.tw/prod/DYAU0U-A900GG02H</t>
  </si>
  <si>
    <t>https://24h.pchome.com.tw/prod/DYAU0U-A900GG02Q</t>
  </si>
  <si>
    <t>DYAU0U-A900K4XCB</t>
  </si>
  <si>
    <t>港澳1GB吃到飽3天</t>
  </si>
  <si>
    <t>港澳, 1GB/天, 128kbps</t>
  </si>
  <si>
    <t>https://24h.pchome.com.tw/prod/DYAU0U-A900G3O50</t>
  </si>
  <si>
    <t>DYAU0U-A900K4XCD</t>
  </si>
  <si>
    <t>港澳1GB吃到飽4天</t>
  </si>
  <si>
    <t>https://24h.pchome.com.tw/prod/DYAU0U-A900G3O5N</t>
  </si>
  <si>
    <t>DYAU0U-A900K4XD7</t>
  </si>
  <si>
    <t>港澳1GB吃到飽5天</t>
  </si>
  <si>
    <t>https://24h.pchome.com.tw/prod/DYAU0U-A900G3O5J</t>
  </si>
  <si>
    <t>港澳1GB吃到飽6天</t>
  </si>
  <si>
    <t>https://24h.pchome.com.tw/prod/DYAU0U-A900G3O5L</t>
  </si>
  <si>
    <t>DYAU0V-A900K4Y4B</t>
  </si>
  <si>
    <t>中國吃到飽不降速5天</t>
  </si>
  <si>
    <r>
      <rPr>
        <rFont val="Arial"/>
        <b/>
        <color theme="1"/>
        <sz val="11.0"/>
      </rPr>
      <t xml:space="preserve">中國內地SG, 無限量/天
</t>
    </r>
    <r>
      <rPr>
        <rFont val="Arial"/>
        <b/>
        <color rgb="FFFFFFFF"/>
        <sz val="11.0"/>
      </rPr>
      <t>中國內地, 無限量/天</t>
    </r>
  </si>
  <si>
    <t>APN：e-ideas
電信：China Unicom</t>
  </si>
  <si>
    <t>中國</t>
  </si>
  <si>
    <t>https://24h.pchome.com.tw/prod/DYAU0V-A900JUBEO</t>
  </si>
  <si>
    <t>DYAU0V-A900K4Y5S</t>
  </si>
  <si>
    <t>中國吃到飽不降速6天</t>
  </si>
  <si>
    <t>https://24h.pchome.com.tw/prod/DYAU0V-A900JUBH2</t>
  </si>
  <si>
    <t>DYAU0V-A900K4Y5Z</t>
  </si>
  <si>
    <t>中國吃到飽不降速7天</t>
  </si>
  <si>
    <t>https://24h.pchome.com.tw/prod/DYAU0V-A900JUBHJ</t>
  </si>
  <si>
    <t>https://24h.pchome.com.tw/prod/DYAU0V-A900JUBI4</t>
  </si>
  <si>
    <t>保留更新用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</si>
</sst>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NT$&quot;#,##0"/>
    <numFmt numFmtId="166" formatCode="0.0%"/>
  </numFmts>
  <fonts count="15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b/>
      <color theme="1"/>
      <name val="Arial"/>
      <scheme val="minor"/>
    </font>
    <font>
      <b/>
      <sz val="11.0"/>
      <color rgb="FFFF0000"/>
      <name val="Arial"/>
    </font>
    <font>
      <b/>
      <u/>
      <sz val="11.0"/>
      <color rgb="FF0000FF"/>
    </font>
    <font>
      <b/>
      <color rgb="FFCCCCCC"/>
      <name val="Arial"/>
      <scheme val="minor"/>
    </font>
    <font>
      <b/>
      <u/>
      <sz val="11.0"/>
      <color rgb="FF0000FF"/>
    </font>
    <font>
      <b/>
      <sz val="11.0"/>
      <color rgb="FFCCCCCC"/>
      <name val="Arial"/>
      <scheme val="minor"/>
    </font>
    <font>
      <b/>
      <color rgb="FFD9D9D9"/>
      <name val="Arial"/>
      <scheme val="minor"/>
    </font>
    <font>
      <b/>
      <u/>
      <sz val="11.0"/>
      <color rgb="FF0000FF"/>
    </font>
    <font>
      <b/>
      <u/>
      <sz val="11.0"/>
      <color rgb="FF0000FF"/>
    </font>
    <font>
      <b/>
      <sz val="11.0"/>
      <color rgb="FF0000FF"/>
      <name val="Arial"/>
      <scheme val="minor"/>
    </font>
    <font>
      <b/>
      <sz val="11.0"/>
      <color rgb="FFFF0000"/>
      <name val="Arial"/>
      <scheme val="minor"/>
    </font>
    <font>
      <b/>
      <u/>
      <sz val="11.0"/>
      <color rgb="FF000000"/>
    </font>
  </fonts>
  <fills count="11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10" xfId="0" applyAlignment="1" applyBorder="1" applyFont="1" applyNumberFormat="1">
      <alignment horizontal="center" readingOrder="0" vertical="center"/>
    </xf>
    <xf borderId="3" fillId="2" fontId="2" numFmtId="0" xfId="0" applyBorder="1" applyFont="1"/>
    <xf borderId="4" fillId="2" fontId="2" numFmtId="0" xfId="0" applyBorder="1" applyFont="1"/>
    <xf borderId="1" fillId="2" fontId="1" numFmtId="164" xfId="0" applyAlignment="1" applyBorder="1" applyFont="1" applyNumberFormat="1">
      <alignment horizontal="center" readingOrder="0" vertical="center"/>
    </xf>
    <xf borderId="1" fillId="2" fontId="1" numFmtId="1" xfId="0" applyAlignment="1" applyBorder="1" applyFont="1" applyNumberForma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 vertical="center"/>
    </xf>
    <xf borderId="5" fillId="4" fontId="2" numFmtId="0" xfId="0" applyBorder="1" applyFill="1" applyFont="1"/>
    <xf borderId="6" fillId="2" fontId="1" numFmtId="10" xfId="0" applyAlignment="1" applyBorder="1" applyFont="1" applyNumberFormat="1">
      <alignment horizontal="center" readingOrder="0" vertical="center"/>
    </xf>
    <xf borderId="6" fillId="2" fontId="1" numFmtId="164" xfId="0" applyAlignment="1" applyBorder="1" applyFont="1" applyNumberForma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3" fontId="3" numFmtId="0" xfId="0" applyAlignment="1" applyBorder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5" fontId="4" numFmtId="0" xfId="0" applyAlignment="1" applyFont="1">
      <alignment horizontal="center"/>
    </xf>
    <xf borderId="6" fillId="5" fontId="1" numFmtId="0" xfId="0" applyAlignment="1" applyBorder="1" applyFont="1">
      <alignment horizontal="center" readingOrder="0" vertical="center"/>
    </xf>
    <xf borderId="6" fillId="5" fontId="1" numFmtId="165" xfId="0" applyAlignment="1" applyBorder="1" applyFont="1" applyNumberFormat="1">
      <alignment horizontal="center" readingOrder="0" vertical="center"/>
    </xf>
    <xf borderId="6" fillId="6" fontId="1" numFmtId="165" xfId="0" applyAlignment="1" applyBorder="1" applyFill="1" applyFont="1" applyNumberFormat="1">
      <alignment horizontal="center" readingOrder="0" vertical="center"/>
    </xf>
    <xf borderId="6" fillId="5" fontId="1" numFmtId="10" xfId="0" applyAlignment="1" applyBorder="1" applyFont="1" applyNumberFormat="1">
      <alignment horizontal="center" readingOrder="0" vertical="center"/>
    </xf>
    <xf borderId="6" fillId="6" fontId="1" numFmtId="1" xfId="0" applyAlignment="1" applyBorder="1" applyFont="1" applyNumberFormat="1">
      <alignment horizontal="center" readingOrder="0" vertical="center"/>
    </xf>
    <xf borderId="6" fillId="5" fontId="1" numFmtId="166" xfId="0" applyAlignment="1" applyBorder="1" applyFont="1" applyNumberFormat="1">
      <alignment horizontal="center" readingOrder="0" vertical="center"/>
    </xf>
    <xf borderId="6" fillId="5" fontId="1" numFmtId="1" xfId="0" applyAlignment="1" applyBorder="1" applyFont="1" applyNumberFormat="1">
      <alignment horizontal="center" readingOrder="0" vertical="center"/>
    </xf>
    <xf borderId="6" fillId="5" fontId="1" numFmtId="164" xfId="0" applyAlignment="1" applyBorder="1" applyFont="1" applyNumberFormat="1">
      <alignment horizontal="center" vertical="center"/>
    </xf>
    <xf borderId="6" fillId="5" fontId="1" numFmtId="1" xfId="0" applyAlignment="1" applyBorder="1" applyFont="1" applyNumberFormat="1">
      <alignment horizontal="center" vertical="center"/>
    </xf>
    <xf borderId="6" fillId="5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readingOrder="0" vertical="center"/>
    </xf>
    <xf borderId="6" fillId="0" fontId="3" numFmtId="9" xfId="0" applyAlignment="1" applyBorder="1" applyFont="1" applyNumberFormat="1">
      <alignment horizontal="center" readingOrder="0" vertical="center"/>
    </xf>
    <xf borderId="6" fillId="7" fontId="1" numFmtId="0" xfId="0" applyAlignment="1" applyBorder="1" applyFill="1" applyFont="1">
      <alignment horizontal="center" readingOrder="0"/>
    </xf>
    <xf borderId="1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left" readingOrder="0" vertical="center"/>
    </xf>
    <xf borderId="6" fillId="4" fontId="1" numFmtId="0" xfId="0" applyAlignment="1" applyBorder="1" applyFont="1">
      <alignment horizontal="center" readingOrder="0" vertical="center"/>
    </xf>
    <xf borderId="6" fillId="4" fontId="5" numFmtId="0" xfId="0" applyAlignment="1" applyBorder="1" applyFont="1">
      <alignment horizontal="center" readingOrder="0" vertical="center"/>
    </xf>
    <xf borderId="6" fillId="4" fontId="1" numFmtId="165" xfId="0" applyAlignment="1" applyBorder="1" applyFont="1" applyNumberFormat="1">
      <alignment horizontal="center" readingOrder="0" vertical="center"/>
    </xf>
    <xf borderId="6" fillId="4" fontId="1" numFmtId="10" xfId="0" applyAlignment="1" applyBorder="1" applyFont="1" applyNumberFormat="1">
      <alignment horizontal="center" readingOrder="0" vertical="center"/>
    </xf>
    <xf borderId="6" fillId="4" fontId="1" numFmtId="166" xfId="0" applyAlignment="1" applyBorder="1" applyFont="1" applyNumberFormat="1">
      <alignment horizontal="center" readingOrder="0" vertical="center"/>
    </xf>
    <xf borderId="6" fillId="4" fontId="1" numFmtId="1" xfId="0" applyAlignment="1" applyBorder="1" applyFont="1" applyNumberFormat="1">
      <alignment horizontal="center" readingOrder="0" vertical="center"/>
    </xf>
    <xf borderId="6" fillId="4" fontId="1" numFmtId="164" xfId="0" applyAlignment="1" applyBorder="1" applyFont="1" applyNumberFormat="1">
      <alignment horizontal="center" vertical="center"/>
    </xf>
    <xf borderId="6" fillId="4" fontId="1" numFmtId="1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 readingOrder="0" vertical="center"/>
    </xf>
    <xf borderId="6" fillId="0" fontId="6" numFmtId="9" xfId="0" applyAlignment="1" applyBorder="1" applyFont="1" applyNumberFormat="1">
      <alignment horizontal="center" readingOrder="0" vertical="center"/>
    </xf>
    <xf borderId="7" fillId="5" fontId="2" numFmtId="0" xfId="0" applyBorder="1" applyFont="1"/>
    <xf borderId="6" fillId="5" fontId="7" numFmtId="0" xfId="0" applyAlignment="1" applyBorder="1" applyFont="1">
      <alignment horizontal="center" readingOrder="0" vertical="center"/>
    </xf>
    <xf borderId="6" fillId="0" fontId="6" numFmtId="10" xfId="0" applyAlignment="1" applyBorder="1" applyFont="1" applyNumberForma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7" fillId="4" fontId="2" numFmtId="0" xfId="0" applyBorder="1" applyFont="1"/>
    <xf borderId="5" fillId="5" fontId="2" numFmtId="0" xfId="0" applyBorder="1" applyFont="1"/>
    <xf borderId="6" fillId="8" fontId="3" numFmtId="0" xfId="0" applyAlignment="1" applyBorder="1" applyFill="1" applyFont="1">
      <alignment horizontal="center" readingOrder="0" vertical="center"/>
    </xf>
    <xf borderId="6" fillId="8" fontId="3" numFmtId="9" xfId="0" applyAlignment="1" applyBorder="1" applyFont="1" applyNumberFormat="1">
      <alignment horizontal="center" readingOrder="0" vertical="center"/>
    </xf>
    <xf borderId="6" fillId="8" fontId="1" numFmtId="0" xfId="0" applyAlignment="1" applyBorder="1" applyFont="1">
      <alignment horizontal="center" readingOrder="0" vertical="center"/>
    </xf>
    <xf borderId="6" fillId="0" fontId="3" numFmtId="10" xfId="0" applyAlignment="1" applyBorder="1" applyFont="1" applyNumberForma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6" fillId="0" fontId="9" numFmtId="9" xfId="0" applyAlignment="1" applyBorder="1" applyFont="1" applyNumberFormat="1">
      <alignment horizontal="center" readingOrder="0" vertical="center"/>
    </xf>
    <xf borderId="6" fillId="7" fontId="1" numFmtId="0" xfId="0" applyAlignment="1" applyBorder="1" applyFont="1">
      <alignment horizontal="center" readingOrder="0" vertical="center"/>
    </xf>
    <xf borderId="6" fillId="7" fontId="1" numFmtId="0" xfId="0" applyAlignment="1" applyBorder="1" applyFont="1">
      <alignment horizontal="left" readingOrder="0" vertical="center"/>
    </xf>
    <xf borderId="6" fillId="9" fontId="1" numFmtId="0" xfId="0" applyAlignment="1" applyBorder="1" applyFill="1" applyFont="1">
      <alignment horizontal="center" readingOrder="0"/>
    </xf>
    <xf borderId="1" fillId="9" fontId="1" numFmtId="0" xfId="0" applyAlignment="1" applyBorder="1" applyFont="1">
      <alignment horizontal="center" readingOrder="0" vertical="center"/>
    </xf>
    <xf borderId="1" fillId="9" fontId="1" numFmtId="0" xfId="0" applyAlignment="1" applyBorder="1" applyFont="1">
      <alignment horizontal="left" readingOrder="0" vertical="center"/>
    </xf>
    <xf borderId="6" fillId="4" fontId="10" numFmtId="0" xfId="0" applyAlignment="1" applyBorder="1" applyFont="1">
      <alignment horizontal="center" readingOrder="0" vertical="center"/>
    </xf>
    <xf borderId="6" fillId="5" fontId="11" numFmtId="0" xfId="0" applyAlignment="1" applyBorder="1" applyFont="1">
      <alignment horizontal="center" readingOrder="0" vertical="center"/>
    </xf>
    <xf borderId="6" fillId="0" fontId="9" numFmtId="10" xfId="0" applyAlignment="1" applyBorder="1" applyFont="1" applyNumberFormat="1">
      <alignment horizontal="center" readingOrder="0" vertical="center"/>
    </xf>
    <xf borderId="6" fillId="0" fontId="3" numFmtId="0" xfId="0" applyBorder="1" applyFont="1"/>
    <xf borderId="6" fillId="0" fontId="3" numFmtId="0" xfId="0" applyAlignment="1" applyBorder="1" applyFont="1">
      <alignment horizontal="center" vertical="center"/>
    </xf>
    <xf borderId="0" fillId="4" fontId="1" numFmtId="0" xfId="0" applyAlignment="1" applyFont="1">
      <alignment horizontal="center" vertical="center"/>
    </xf>
    <xf borderId="1" fillId="10" fontId="1" numFmtId="0" xfId="0" applyAlignment="1" applyBorder="1" applyFill="1" applyFont="1">
      <alignment horizontal="center" readingOrder="0" vertical="center"/>
    </xf>
    <xf borderId="1" fillId="10" fontId="1" numFmtId="0" xfId="0" applyAlignment="1" applyBorder="1" applyFont="1">
      <alignment horizontal="left" readingOrder="0" vertical="center"/>
    </xf>
    <xf borderId="6" fillId="5" fontId="12" numFmtId="165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6" fillId="9" fontId="13" numFmtId="0" xfId="0" applyAlignment="1" applyBorder="1" applyFont="1">
      <alignment horizontal="center" readingOrder="0"/>
    </xf>
    <xf borderId="6" fillId="4" fontId="14" numFmtId="0" xfId="0" applyAlignment="1" applyBorder="1" applyFont="1">
      <alignment horizontal="center" readingOrder="0" vertical="center"/>
    </xf>
    <xf borderId="6" fillId="7" fontId="3" numFmtId="0" xfId="0" applyAlignment="1" applyBorder="1" applyFont="1">
      <alignment horizontal="center" readingOrder="0"/>
    </xf>
    <xf borderId="6" fillId="3" fontId="1" numFmtId="0" xfId="0" applyAlignment="1" applyBorder="1" applyFont="1">
      <alignment horizontal="center" readingOrder="0" vertical="center"/>
    </xf>
    <xf borderId="6" fillId="3" fontId="1" numFmtId="165" xfId="0" applyAlignment="1" applyBorder="1" applyFont="1" applyNumberFormat="1">
      <alignment horizontal="center" readingOrder="0" vertical="center"/>
    </xf>
    <xf borderId="6" fillId="3" fontId="1" numFmtId="10" xfId="0" applyAlignment="1" applyBorder="1" applyFont="1" applyNumberFormat="1">
      <alignment horizontal="center" readingOrder="0" vertical="center"/>
    </xf>
    <xf borderId="6" fillId="3" fontId="1" numFmtId="1" xfId="0" applyAlignment="1" applyBorder="1" applyFont="1" applyNumberFormat="1">
      <alignment horizontal="center" readingOrder="0" vertical="center"/>
    </xf>
    <xf borderId="6" fillId="3" fontId="1" numFmtId="166" xfId="0" applyAlignment="1" applyBorder="1" applyFont="1" applyNumberFormat="1">
      <alignment horizontal="center" readingOrder="0" vertical="center"/>
    </xf>
    <xf borderId="6" fillId="3" fontId="1" numFmtId="1" xfId="0" applyAlignment="1" applyBorder="1" applyFont="1" applyNumberFormat="1">
      <alignment horizontal="center" readingOrder="0" vertical="center"/>
    </xf>
    <xf borderId="6" fillId="3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24h.pchome.com.tw/prod/DYAU0U-A900G3O5J" TargetMode="External"/><Relationship Id="rId20" Type="http://schemas.openxmlformats.org/officeDocument/2006/relationships/hyperlink" Target="https://24h.pchome.com.tw/prod/DYAU0Z-A900FYXNT" TargetMode="External"/><Relationship Id="rId42" Type="http://schemas.openxmlformats.org/officeDocument/2006/relationships/hyperlink" Target="https://24h.pchome.com.tw/prod/DYAU0V-A900JUBEO" TargetMode="External"/><Relationship Id="rId41" Type="http://schemas.openxmlformats.org/officeDocument/2006/relationships/hyperlink" Target="https://24h.pchome.com.tw/prod/DYAU0U-A900G3O5L" TargetMode="External"/><Relationship Id="rId22" Type="http://schemas.openxmlformats.org/officeDocument/2006/relationships/hyperlink" Target="https://24h.pchome.com.tw/prod/DYAU13-A900G3OOY" TargetMode="External"/><Relationship Id="rId44" Type="http://schemas.openxmlformats.org/officeDocument/2006/relationships/hyperlink" Target="https://24h.pchome.com.tw/prod/DYAU0V-A900JUBHJ" TargetMode="External"/><Relationship Id="rId21" Type="http://schemas.openxmlformats.org/officeDocument/2006/relationships/hyperlink" Target="https://24h.pchome.com.tw/prod/DYAU0Z-A900FYXOS" TargetMode="External"/><Relationship Id="rId43" Type="http://schemas.openxmlformats.org/officeDocument/2006/relationships/hyperlink" Target="https://24h.pchome.com.tw/prod/DYAU0V-A900JUBH2" TargetMode="External"/><Relationship Id="rId24" Type="http://schemas.openxmlformats.org/officeDocument/2006/relationships/hyperlink" Target="https://24h.pchome.com.tw/prod/DYAU0Y-A900JUAYE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24h.pchome.com.tw/prod/DYAU13-A900G3OPM" TargetMode="External"/><Relationship Id="rId45" Type="http://schemas.openxmlformats.org/officeDocument/2006/relationships/hyperlink" Target="https://24h.pchome.com.tw/prod/DYAU0V-A900JUBI4" TargetMode="External"/><Relationship Id="rId1" Type="http://schemas.openxmlformats.org/officeDocument/2006/relationships/hyperlink" Target="https://24h.pchome.com.tw/prod/DYAU0B-A900FYWBN" TargetMode="External"/><Relationship Id="rId2" Type="http://schemas.openxmlformats.org/officeDocument/2006/relationships/hyperlink" Target="https://24h.pchome.com.tw/prod/DYAU0B-A900FZ5BO" TargetMode="External"/><Relationship Id="rId3" Type="http://schemas.openxmlformats.org/officeDocument/2006/relationships/hyperlink" Target="https://24h.pchome.com.tw/prod/DYAU0B-A900GL52V" TargetMode="External"/><Relationship Id="rId4" Type="http://schemas.openxmlformats.org/officeDocument/2006/relationships/hyperlink" Target="https://24h.pchome.com.tw/prod/DYAU0B-A900IXTDD" TargetMode="External"/><Relationship Id="rId9" Type="http://schemas.openxmlformats.org/officeDocument/2006/relationships/hyperlink" Target="https://24h.pchome.com.tw/prod/DYAU0W-A900FYWL6" TargetMode="External"/><Relationship Id="rId26" Type="http://schemas.openxmlformats.org/officeDocument/2006/relationships/hyperlink" Target="https://24h.pchome.com.tw/prod/DYAU0Y-A900JUB6M" TargetMode="External"/><Relationship Id="rId25" Type="http://schemas.openxmlformats.org/officeDocument/2006/relationships/hyperlink" Target="https://24h.pchome.com.tw/prod/DYAU0Y-A900JUB1S" TargetMode="External"/><Relationship Id="rId28" Type="http://schemas.openxmlformats.org/officeDocument/2006/relationships/hyperlink" Target="https://24h.pchome.com.tw/prod/DYAU13-A900G3ORH" TargetMode="External"/><Relationship Id="rId27" Type="http://schemas.openxmlformats.org/officeDocument/2006/relationships/hyperlink" Target="https://24h.pchome.com.tw/prod/DYAU13-A900G3ORX" TargetMode="External"/><Relationship Id="rId5" Type="http://schemas.openxmlformats.org/officeDocument/2006/relationships/hyperlink" Target="https://24h.pchome.com.tw/prod/DYAU0B-A900FY49Q" TargetMode="External"/><Relationship Id="rId6" Type="http://schemas.openxmlformats.org/officeDocument/2006/relationships/hyperlink" Target="https://24h.pchome.com.tw/prod/DYAU0B-A900IXTPB" TargetMode="External"/><Relationship Id="rId29" Type="http://schemas.openxmlformats.org/officeDocument/2006/relationships/hyperlink" Target="https://24h.pchome.com.tw/prod/DYAU13-A900G3ORL" TargetMode="External"/><Relationship Id="rId7" Type="http://schemas.openxmlformats.org/officeDocument/2006/relationships/hyperlink" Target="https://24h.pchome.com.tw/prod/DYAU0D-A900FY49V" TargetMode="External"/><Relationship Id="rId8" Type="http://schemas.openxmlformats.org/officeDocument/2006/relationships/hyperlink" Target="https://24h.pchome.com.tw/prod/DYAU0B-A900GRZUU" TargetMode="External"/><Relationship Id="rId31" Type="http://schemas.openxmlformats.org/officeDocument/2006/relationships/hyperlink" Target="https://24h.pchome.com.tw/prod/DYAU13-A900G1B43" TargetMode="External"/><Relationship Id="rId30" Type="http://schemas.openxmlformats.org/officeDocument/2006/relationships/hyperlink" Target="https://24h.pchome.com.tw/prod/DYAU13-A900G1B1F" TargetMode="External"/><Relationship Id="rId11" Type="http://schemas.openxmlformats.org/officeDocument/2006/relationships/hyperlink" Target="https://24h.pchome.com.tw/prod/DYAU0W-A900FYWKV" TargetMode="External"/><Relationship Id="rId33" Type="http://schemas.openxmlformats.org/officeDocument/2006/relationships/hyperlink" Target="https://24h.pchome.com.tw/prod/DYAU13-A900G1B4M" TargetMode="External"/><Relationship Id="rId10" Type="http://schemas.openxmlformats.org/officeDocument/2006/relationships/hyperlink" Target="https://24h.pchome.com.tw/prod/DYAU0W-A900FYWKU" TargetMode="External"/><Relationship Id="rId32" Type="http://schemas.openxmlformats.org/officeDocument/2006/relationships/hyperlink" Target="https://24h.pchome.com.tw/prod/DYAU13-A900G1B4I" TargetMode="External"/><Relationship Id="rId13" Type="http://schemas.openxmlformats.org/officeDocument/2006/relationships/hyperlink" Target="https://24h.pchome.com.tw/prod/DYAU0W-A900G3UUC" TargetMode="External"/><Relationship Id="rId35" Type="http://schemas.openxmlformats.org/officeDocument/2006/relationships/hyperlink" Target="https://24h.pchome.com.tw/prod/DYAU0U-A900GG02E" TargetMode="External"/><Relationship Id="rId12" Type="http://schemas.openxmlformats.org/officeDocument/2006/relationships/hyperlink" Target="https://24h.pchome.com.tw/prod/DYAU0W-A900G3UTS" TargetMode="External"/><Relationship Id="rId34" Type="http://schemas.openxmlformats.org/officeDocument/2006/relationships/hyperlink" Target="https://24h.pchome.com.tw/prod/DYAU0U-A900GFZZE" TargetMode="External"/><Relationship Id="rId15" Type="http://schemas.openxmlformats.org/officeDocument/2006/relationships/hyperlink" Target="https://24h.pchome.com.tw/prod/DYAU0W-A900G3NIH" TargetMode="External"/><Relationship Id="rId37" Type="http://schemas.openxmlformats.org/officeDocument/2006/relationships/hyperlink" Target="https://24h.pchome.com.tw/prod/DYAU0U-A900GG02Q" TargetMode="External"/><Relationship Id="rId14" Type="http://schemas.openxmlformats.org/officeDocument/2006/relationships/hyperlink" Target="https://24h.pchome.com.tw/prod/DYAU0W-A900G3UTX" TargetMode="External"/><Relationship Id="rId36" Type="http://schemas.openxmlformats.org/officeDocument/2006/relationships/hyperlink" Target="https://24h.pchome.com.tw/prod/DYAU0U-A900GG02H" TargetMode="External"/><Relationship Id="rId17" Type="http://schemas.openxmlformats.org/officeDocument/2006/relationships/hyperlink" Target="https://24h.pchome.com.tw/prod/DYAU0W-A900G3NIL" TargetMode="External"/><Relationship Id="rId39" Type="http://schemas.openxmlformats.org/officeDocument/2006/relationships/hyperlink" Target="https://24h.pchome.com.tw/prod/DYAU0U-A900G3O5N" TargetMode="External"/><Relationship Id="rId16" Type="http://schemas.openxmlformats.org/officeDocument/2006/relationships/hyperlink" Target="https://24h.pchome.com.tw/prod/DYAU0W-A900G3NI7" TargetMode="External"/><Relationship Id="rId38" Type="http://schemas.openxmlformats.org/officeDocument/2006/relationships/hyperlink" Target="https://24h.pchome.com.tw/prod/DYAU0U-A900G3O50" TargetMode="External"/><Relationship Id="rId19" Type="http://schemas.openxmlformats.org/officeDocument/2006/relationships/hyperlink" Target="https://24h.pchome.com.tw/prod/DYAU0Z-A900FYXNP" TargetMode="External"/><Relationship Id="rId18" Type="http://schemas.openxmlformats.org/officeDocument/2006/relationships/hyperlink" Target="https://24h.pchome.com.tw/prod/DYAU0Z-A900FYX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38"/>
    <col customWidth="1" min="2" max="2" width="13.13"/>
    <col customWidth="1" min="3" max="3" width="19.5"/>
    <col customWidth="1" min="4" max="4" width="27.0"/>
    <col customWidth="1" hidden="1" min="5" max="5" width="27.63"/>
    <col customWidth="1" min="6" max="7" width="4.63"/>
    <col customWidth="1" min="8" max="8" width="6.5"/>
    <col customWidth="1" min="9" max="9" width="17.63"/>
    <col customWidth="1" hidden="1" min="10" max="10" width="17.63"/>
    <col customWidth="1" min="13" max="13" width="10.38"/>
    <col customWidth="1" min="14" max="14" width="8.38"/>
    <col customWidth="1" min="15" max="24" width="11.25"/>
    <col customWidth="1" min="25" max="25" width="8.38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9</v>
      </c>
      <c r="Q1" s="3"/>
      <c r="R1" s="3"/>
      <c r="S1" s="4"/>
      <c r="T1" s="1" t="s">
        <v>15</v>
      </c>
      <c r="U1" s="1" t="s">
        <v>16</v>
      </c>
      <c r="V1" s="1" t="s">
        <v>17</v>
      </c>
      <c r="W1" s="5" t="s">
        <v>18</v>
      </c>
      <c r="X1" s="6" t="s">
        <v>19</v>
      </c>
      <c r="Y1" s="6" t="s">
        <v>20</v>
      </c>
      <c r="Z1" s="7" t="s">
        <v>9</v>
      </c>
      <c r="AA1" s="8" t="s">
        <v>21</v>
      </c>
      <c r="AB1" s="9"/>
      <c r="AC1" s="10"/>
      <c r="AD1" s="11"/>
    </row>
    <row r="2" ht="24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 t="s">
        <v>22</v>
      </c>
      <c r="Q2" s="14" t="s">
        <v>23</v>
      </c>
      <c r="R2" s="15" t="s">
        <v>24</v>
      </c>
      <c r="S2" s="15" t="s">
        <v>25</v>
      </c>
      <c r="T2" s="12"/>
      <c r="U2" s="12"/>
      <c r="V2" s="12"/>
      <c r="W2" s="12"/>
      <c r="X2" s="12"/>
      <c r="Y2" s="12"/>
      <c r="Z2" s="16"/>
      <c r="AA2" s="17" t="s">
        <v>26</v>
      </c>
      <c r="AB2" s="17" t="s">
        <v>24</v>
      </c>
      <c r="AC2" s="17" t="s">
        <v>27</v>
      </c>
      <c r="AD2" s="11"/>
    </row>
    <row r="3" ht="24.75" customHeight="1">
      <c r="A3" s="18"/>
      <c r="B3" s="18"/>
      <c r="C3" s="19"/>
      <c r="D3" s="20"/>
      <c r="E3" s="20"/>
      <c r="F3" s="20"/>
      <c r="G3" s="20"/>
      <c r="H3" s="20"/>
      <c r="I3" s="20"/>
      <c r="J3" s="20"/>
      <c r="K3" s="21"/>
      <c r="L3" s="21"/>
      <c r="M3" s="22"/>
      <c r="N3" s="20"/>
      <c r="O3" s="20"/>
      <c r="P3" s="23"/>
      <c r="Q3" s="24"/>
      <c r="R3" s="25"/>
      <c r="S3" s="20"/>
      <c r="T3" s="20"/>
      <c r="U3" s="26"/>
      <c r="V3" s="26"/>
      <c r="W3" s="27"/>
      <c r="X3" s="28"/>
      <c r="Y3" s="29"/>
      <c r="Z3" s="30"/>
      <c r="AA3" s="31"/>
      <c r="AB3" s="31"/>
      <c r="AC3" s="30"/>
      <c r="AD3" s="11"/>
    </row>
    <row r="4" ht="24.75" customHeight="1">
      <c r="A4" s="32" t="s">
        <v>28</v>
      </c>
      <c r="B4" s="32">
        <v>1.41101020103E11</v>
      </c>
      <c r="C4" s="32" t="s">
        <v>29</v>
      </c>
      <c r="D4" s="33" t="s">
        <v>30</v>
      </c>
      <c r="E4" s="34" t="s">
        <v>31</v>
      </c>
      <c r="F4" s="32">
        <v>3.0</v>
      </c>
      <c r="G4" s="35" t="s">
        <v>32</v>
      </c>
      <c r="H4" s="35" t="s">
        <v>33</v>
      </c>
      <c r="I4" s="36" t="s">
        <v>34</v>
      </c>
      <c r="J4" s="35" t="s">
        <v>35</v>
      </c>
      <c r="K4" s="37">
        <v>36.0</v>
      </c>
      <c r="L4" s="37">
        <f t="shared" ref="L4:L10" si="1">(K4*F4)*1.05</f>
        <v>113.4</v>
      </c>
      <c r="M4" s="22">
        <v>259.0</v>
      </c>
      <c r="N4" s="35">
        <v>1.0</v>
      </c>
      <c r="O4" s="37">
        <f t="shared" ref="O4:O48" si="2">L4*$N4</f>
        <v>113.4</v>
      </c>
      <c r="P4" s="38">
        <f t="shared" ref="P4:P48" si="3">XLOOKUP(J4,Z:Z,AA:AA)</f>
        <v>0.08</v>
      </c>
      <c r="Q4" s="24">
        <f t="shared" ref="Q4:Q48" si="4">IF(J4="蝦皮","X",ROUNDDOWN(M4-(M4*P4),0))</f>
        <v>238</v>
      </c>
      <c r="R4" s="39">
        <f t="shared" ref="R4:R48" si="5">XLOOKUP(J4,Z:Z,AB:AB)</f>
        <v>0.01</v>
      </c>
      <c r="S4" s="35">
        <f t="shared" ref="S4:S48" si="6">XLOOKUP(J4,Z:Z,AC:AC)</f>
        <v>74</v>
      </c>
      <c r="T4" s="37">
        <f t="shared" ref="T4:T49" si="7">IF(J4="蝦皮",M4*(P4+R4)+S4,(M4*P4)+(Q4*R4)+S4)</f>
        <v>97.1</v>
      </c>
      <c r="U4" s="40">
        <f t="shared" ref="U4:U49" si="8">V4/N4</f>
        <v>161</v>
      </c>
      <c r="V4" s="40">
        <f>ROUNDDOWN((M4*N4)-$T4,0)</f>
        <v>161</v>
      </c>
      <c r="W4" s="41">
        <f t="shared" ref="W4:W49" si="9">X4/N4</f>
        <v>47.6</v>
      </c>
      <c r="X4" s="42">
        <f t="shared" ref="X4:X48" si="10">$V4-$O4</f>
        <v>47.6</v>
      </c>
      <c r="Y4" s="35" t="s">
        <v>36</v>
      </c>
      <c r="Z4" s="43" t="s">
        <v>37</v>
      </c>
      <c r="AA4" s="44"/>
      <c r="AB4" s="44">
        <v>0.035</v>
      </c>
      <c r="AC4" s="43">
        <v>0.0</v>
      </c>
      <c r="AD4" s="11"/>
    </row>
    <row r="5" ht="24.75" customHeight="1">
      <c r="A5" s="32" t="s">
        <v>38</v>
      </c>
      <c r="B5" s="32">
        <v>1.41101020105E11</v>
      </c>
      <c r="C5" s="32" t="s">
        <v>39</v>
      </c>
      <c r="D5" s="45"/>
      <c r="E5" s="45"/>
      <c r="F5" s="32">
        <v>5.0</v>
      </c>
      <c r="G5" s="20" t="s">
        <v>32</v>
      </c>
      <c r="H5" s="20" t="s">
        <v>33</v>
      </c>
      <c r="I5" s="46" t="s">
        <v>40</v>
      </c>
      <c r="J5" s="20" t="s">
        <v>35</v>
      </c>
      <c r="K5" s="21">
        <v>36.0</v>
      </c>
      <c r="L5" s="21">
        <f t="shared" si="1"/>
        <v>189</v>
      </c>
      <c r="M5" s="22">
        <v>350.0</v>
      </c>
      <c r="N5" s="20">
        <v>1.0</v>
      </c>
      <c r="O5" s="21">
        <f t="shared" si="2"/>
        <v>189</v>
      </c>
      <c r="P5" s="23">
        <f t="shared" si="3"/>
        <v>0.08</v>
      </c>
      <c r="Q5" s="24">
        <f t="shared" si="4"/>
        <v>322</v>
      </c>
      <c r="R5" s="25">
        <f t="shared" si="5"/>
        <v>0.01</v>
      </c>
      <c r="S5" s="20">
        <f t="shared" si="6"/>
        <v>74</v>
      </c>
      <c r="T5" s="21">
        <f t="shared" si="7"/>
        <v>105.22</v>
      </c>
      <c r="U5" s="26">
        <f t="shared" si="8"/>
        <v>244</v>
      </c>
      <c r="V5" s="26">
        <f t="shared" ref="V5:V49" si="11">ROUNDDOWN(M5-$T5,0)</f>
        <v>244</v>
      </c>
      <c r="W5" s="27">
        <f t="shared" si="9"/>
        <v>55</v>
      </c>
      <c r="X5" s="28">
        <f t="shared" si="10"/>
        <v>55</v>
      </c>
      <c r="Y5" s="20" t="s">
        <v>36</v>
      </c>
      <c r="Z5" s="43" t="s">
        <v>41</v>
      </c>
      <c r="AA5" s="47">
        <v>0.12</v>
      </c>
      <c r="AB5" s="47">
        <v>0.035</v>
      </c>
      <c r="AC5" s="48">
        <v>60.0</v>
      </c>
      <c r="AD5" s="11"/>
    </row>
    <row r="6">
      <c r="A6" s="32" t="s">
        <v>42</v>
      </c>
      <c r="B6" s="32">
        <v>1.41101020107E11</v>
      </c>
      <c r="C6" s="32" t="s">
        <v>43</v>
      </c>
      <c r="D6" s="49"/>
      <c r="E6" s="49"/>
      <c r="F6" s="32">
        <v>7.0</v>
      </c>
      <c r="G6" s="35" t="s">
        <v>32</v>
      </c>
      <c r="H6" s="35" t="s">
        <v>33</v>
      </c>
      <c r="I6" s="36" t="s">
        <v>44</v>
      </c>
      <c r="J6" s="35" t="s">
        <v>35</v>
      </c>
      <c r="K6" s="37">
        <v>36.0</v>
      </c>
      <c r="L6" s="37">
        <f t="shared" si="1"/>
        <v>264.6</v>
      </c>
      <c r="M6" s="22">
        <v>589.0</v>
      </c>
      <c r="N6" s="35">
        <v>1.0</v>
      </c>
      <c r="O6" s="37">
        <f t="shared" si="2"/>
        <v>264.6</v>
      </c>
      <c r="P6" s="38">
        <f t="shared" si="3"/>
        <v>0.08</v>
      </c>
      <c r="Q6" s="24">
        <f t="shared" si="4"/>
        <v>541</v>
      </c>
      <c r="R6" s="39">
        <f t="shared" si="5"/>
        <v>0.01</v>
      </c>
      <c r="S6" s="35">
        <f t="shared" si="6"/>
        <v>74</v>
      </c>
      <c r="T6" s="37">
        <f t="shared" si="7"/>
        <v>126.53</v>
      </c>
      <c r="U6" s="40">
        <f t="shared" si="8"/>
        <v>462</v>
      </c>
      <c r="V6" s="40">
        <f t="shared" si="11"/>
        <v>462</v>
      </c>
      <c r="W6" s="41">
        <f t="shared" si="9"/>
        <v>197.4</v>
      </c>
      <c r="X6" s="42">
        <f t="shared" si="10"/>
        <v>197.4</v>
      </c>
      <c r="Y6" s="35" t="s">
        <v>36</v>
      </c>
      <c r="Z6" s="43" t="s">
        <v>45</v>
      </c>
      <c r="AA6" s="47">
        <v>0.12</v>
      </c>
      <c r="AB6" s="47">
        <v>0.035</v>
      </c>
      <c r="AC6" s="43">
        <v>0.0</v>
      </c>
      <c r="AD6" s="11"/>
    </row>
    <row r="7" ht="1.5" customHeight="1">
      <c r="A7" s="32"/>
      <c r="B7" s="32"/>
      <c r="C7" s="32"/>
      <c r="D7" s="50"/>
      <c r="E7" s="50"/>
      <c r="F7" s="32">
        <v>10.0</v>
      </c>
      <c r="G7" s="20" t="s">
        <v>32</v>
      </c>
      <c r="H7" s="20" t="s">
        <v>33</v>
      </c>
      <c r="I7" s="46" t="s">
        <v>46</v>
      </c>
      <c r="J7" s="20" t="s">
        <v>35</v>
      </c>
      <c r="K7" s="21"/>
      <c r="L7" s="21">
        <f t="shared" si="1"/>
        <v>0</v>
      </c>
      <c r="M7" s="22">
        <v>767.0</v>
      </c>
      <c r="N7" s="20">
        <v>1.0</v>
      </c>
      <c r="O7" s="21">
        <f t="shared" si="2"/>
        <v>0</v>
      </c>
      <c r="P7" s="23">
        <f t="shared" si="3"/>
        <v>0.08</v>
      </c>
      <c r="Q7" s="24">
        <f t="shared" si="4"/>
        <v>705</v>
      </c>
      <c r="R7" s="25">
        <f t="shared" si="5"/>
        <v>0.01</v>
      </c>
      <c r="S7" s="20">
        <f t="shared" si="6"/>
        <v>74</v>
      </c>
      <c r="T7" s="21">
        <f t="shared" si="7"/>
        <v>142.41</v>
      </c>
      <c r="U7" s="26">
        <f t="shared" si="8"/>
        <v>624</v>
      </c>
      <c r="V7" s="26">
        <f t="shared" si="11"/>
        <v>624</v>
      </c>
      <c r="W7" s="27">
        <f t="shared" si="9"/>
        <v>624</v>
      </c>
      <c r="X7" s="28">
        <f t="shared" si="10"/>
        <v>624</v>
      </c>
      <c r="Y7" s="20" t="s">
        <v>36</v>
      </c>
      <c r="Z7" s="51" t="s">
        <v>35</v>
      </c>
      <c r="AA7" s="52">
        <v>0.08</v>
      </c>
      <c r="AB7" s="52">
        <v>0.01</v>
      </c>
      <c r="AC7" s="53">
        <f>60+14</f>
        <v>74</v>
      </c>
      <c r="AD7" s="11"/>
    </row>
    <row r="8" ht="24.75" customHeight="1">
      <c r="A8" s="32" t="s">
        <v>47</v>
      </c>
      <c r="B8" s="32">
        <v>1.41101020205E11</v>
      </c>
      <c r="C8" s="32" t="s">
        <v>48</v>
      </c>
      <c r="D8" s="33" t="s">
        <v>49</v>
      </c>
      <c r="E8" s="34" t="s">
        <v>50</v>
      </c>
      <c r="F8" s="32">
        <v>5.0</v>
      </c>
      <c r="G8" s="35" t="s">
        <v>32</v>
      </c>
      <c r="H8" s="35" t="s">
        <v>51</v>
      </c>
      <c r="I8" s="36" t="s">
        <v>52</v>
      </c>
      <c r="J8" s="35" t="s">
        <v>35</v>
      </c>
      <c r="K8" s="37">
        <v>12.0</v>
      </c>
      <c r="L8" s="37">
        <f t="shared" si="1"/>
        <v>63</v>
      </c>
      <c r="M8" s="22">
        <v>165.0</v>
      </c>
      <c r="N8" s="35">
        <v>1.0</v>
      </c>
      <c r="O8" s="37">
        <f t="shared" si="2"/>
        <v>63</v>
      </c>
      <c r="P8" s="38">
        <f t="shared" si="3"/>
        <v>0.08</v>
      </c>
      <c r="Q8" s="24">
        <f t="shared" si="4"/>
        <v>151</v>
      </c>
      <c r="R8" s="39">
        <f t="shared" si="5"/>
        <v>0.01</v>
      </c>
      <c r="S8" s="35">
        <f t="shared" si="6"/>
        <v>74</v>
      </c>
      <c r="T8" s="37">
        <f t="shared" si="7"/>
        <v>88.71</v>
      </c>
      <c r="U8" s="40">
        <f t="shared" si="8"/>
        <v>76</v>
      </c>
      <c r="V8" s="40">
        <f t="shared" si="11"/>
        <v>76</v>
      </c>
      <c r="W8" s="41">
        <f t="shared" si="9"/>
        <v>13</v>
      </c>
      <c r="X8" s="42">
        <f t="shared" si="10"/>
        <v>13</v>
      </c>
      <c r="Y8" s="35" t="s">
        <v>36</v>
      </c>
      <c r="Z8" s="30" t="s">
        <v>53</v>
      </c>
      <c r="AA8" s="54"/>
      <c r="AB8" s="31">
        <v>0.01</v>
      </c>
      <c r="AC8" s="30">
        <v>0.0</v>
      </c>
      <c r="AD8" s="11"/>
    </row>
    <row r="9" ht="24.75" customHeight="1">
      <c r="A9" s="32" t="s">
        <v>54</v>
      </c>
      <c r="B9" s="32">
        <v>1.41101020207E11</v>
      </c>
      <c r="C9" s="32" t="s">
        <v>55</v>
      </c>
      <c r="D9" s="45"/>
      <c r="E9" s="45"/>
      <c r="F9" s="32">
        <v>7.0</v>
      </c>
      <c r="G9" s="20" t="s">
        <v>32</v>
      </c>
      <c r="H9" s="20" t="s">
        <v>51</v>
      </c>
      <c r="I9" s="46" t="s">
        <v>56</v>
      </c>
      <c r="J9" s="20" t="s">
        <v>35</v>
      </c>
      <c r="K9" s="21">
        <v>12.0</v>
      </c>
      <c r="L9" s="21">
        <f t="shared" si="1"/>
        <v>88.2</v>
      </c>
      <c r="M9" s="22">
        <v>209.0</v>
      </c>
      <c r="N9" s="20">
        <v>1.0</v>
      </c>
      <c r="O9" s="21">
        <f t="shared" si="2"/>
        <v>88.2</v>
      </c>
      <c r="P9" s="23">
        <f t="shared" si="3"/>
        <v>0.08</v>
      </c>
      <c r="Q9" s="24">
        <f t="shared" si="4"/>
        <v>192</v>
      </c>
      <c r="R9" s="25">
        <f t="shared" si="5"/>
        <v>0.01</v>
      </c>
      <c r="S9" s="20">
        <f t="shared" si="6"/>
        <v>74</v>
      </c>
      <c r="T9" s="21">
        <f t="shared" si="7"/>
        <v>92.64</v>
      </c>
      <c r="U9" s="26">
        <f t="shared" si="8"/>
        <v>116</v>
      </c>
      <c r="V9" s="26">
        <f t="shared" si="11"/>
        <v>116</v>
      </c>
      <c r="W9" s="27">
        <f t="shared" si="9"/>
        <v>27.8</v>
      </c>
      <c r="X9" s="28">
        <f t="shared" si="10"/>
        <v>27.8</v>
      </c>
      <c r="Y9" s="20" t="s">
        <v>36</v>
      </c>
      <c r="Z9" s="55" t="s">
        <v>57</v>
      </c>
      <c r="AA9" s="56"/>
      <c r="AB9" s="56">
        <v>0.0</v>
      </c>
      <c r="AC9" s="55">
        <v>60.0</v>
      </c>
      <c r="AD9" s="11"/>
    </row>
    <row r="10" ht="1.5" customHeight="1">
      <c r="A10" s="32"/>
      <c r="B10" s="32"/>
      <c r="C10" s="32"/>
      <c r="D10" s="12"/>
      <c r="E10" s="12"/>
      <c r="F10" s="32">
        <v>10.0</v>
      </c>
      <c r="G10" s="35" t="s">
        <v>32</v>
      </c>
      <c r="H10" s="35" t="s">
        <v>51</v>
      </c>
      <c r="I10" s="36" t="s">
        <v>58</v>
      </c>
      <c r="J10" s="35" t="s">
        <v>35</v>
      </c>
      <c r="K10" s="37"/>
      <c r="L10" s="37">
        <f t="shared" si="1"/>
        <v>0</v>
      </c>
      <c r="M10" s="22">
        <v>279.0</v>
      </c>
      <c r="N10" s="35">
        <v>1.0</v>
      </c>
      <c r="O10" s="37">
        <f t="shared" si="2"/>
        <v>0</v>
      </c>
      <c r="P10" s="38">
        <f t="shared" si="3"/>
        <v>0.08</v>
      </c>
      <c r="Q10" s="24">
        <f t="shared" si="4"/>
        <v>256</v>
      </c>
      <c r="R10" s="39">
        <f t="shared" si="5"/>
        <v>0.01</v>
      </c>
      <c r="S10" s="35">
        <f t="shared" si="6"/>
        <v>74</v>
      </c>
      <c r="T10" s="37">
        <f t="shared" si="7"/>
        <v>98.88</v>
      </c>
      <c r="U10" s="40">
        <f t="shared" si="8"/>
        <v>180</v>
      </c>
      <c r="V10" s="40">
        <f t="shared" si="11"/>
        <v>180</v>
      </c>
      <c r="W10" s="41">
        <f t="shared" si="9"/>
        <v>180</v>
      </c>
      <c r="X10" s="42">
        <f t="shared" si="10"/>
        <v>180</v>
      </c>
      <c r="Y10" s="35" t="s">
        <v>36</v>
      </c>
      <c r="Z10" s="30"/>
      <c r="AA10" s="31"/>
      <c r="AB10" s="31"/>
      <c r="AC10" s="30"/>
      <c r="AD10" s="11"/>
    </row>
    <row r="11" ht="24.75" customHeight="1">
      <c r="A11" s="32" t="s">
        <v>59</v>
      </c>
      <c r="B11" s="32">
        <v>1.4110102801E11</v>
      </c>
      <c r="C11" s="32" t="s">
        <v>60</v>
      </c>
      <c r="D11" s="57" t="s">
        <v>61</v>
      </c>
      <c r="E11" s="58" t="s">
        <v>50</v>
      </c>
      <c r="F11" s="32">
        <v>5.0</v>
      </c>
      <c r="G11" s="20" t="s">
        <v>32</v>
      </c>
      <c r="H11" s="20" t="s">
        <v>62</v>
      </c>
      <c r="I11" s="46" t="s">
        <v>63</v>
      </c>
      <c r="J11" s="20" t="s">
        <v>35</v>
      </c>
      <c r="K11" s="21">
        <v>104.0</v>
      </c>
      <c r="L11" s="21">
        <f>K11*1.05</f>
        <v>109.2</v>
      </c>
      <c r="M11" s="22">
        <v>269.0</v>
      </c>
      <c r="N11" s="20">
        <v>1.0</v>
      </c>
      <c r="O11" s="21">
        <f t="shared" si="2"/>
        <v>109.2</v>
      </c>
      <c r="P11" s="23">
        <f t="shared" si="3"/>
        <v>0.08</v>
      </c>
      <c r="Q11" s="24">
        <f t="shared" si="4"/>
        <v>247</v>
      </c>
      <c r="R11" s="25">
        <f t="shared" si="5"/>
        <v>0.01</v>
      </c>
      <c r="S11" s="20">
        <f t="shared" si="6"/>
        <v>74</v>
      </c>
      <c r="T11" s="21">
        <f t="shared" si="7"/>
        <v>97.99</v>
      </c>
      <c r="U11" s="26">
        <f t="shared" si="8"/>
        <v>171</v>
      </c>
      <c r="V11" s="26">
        <f t="shared" si="11"/>
        <v>171</v>
      </c>
      <c r="W11" s="27">
        <f t="shared" si="9"/>
        <v>61.8</v>
      </c>
      <c r="X11" s="28">
        <f t="shared" si="10"/>
        <v>61.8</v>
      </c>
      <c r="Y11" s="20" t="s">
        <v>36</v>
      </c>
      <c r="Z11" s="30"/>
      <c r="AA11" s="31"/>
      <c r="AB11" s="31"/>
      <c r="AC11" s="30"/>
      <c r="AD11" s="11"/>
    </row>
    <row r="12" ht="24.75" customHeight="1">
      <c r="A12" s="59" t="s">
        <v>64</v>
      </c>
      <c r="B12" s="59">
        <v>1.41102020105E11</v>
      </c>
      <c r="C12" s="59" t="s">
        <v>65</v>
      </c>
      <c r="D12" s="60" t="s">
        <v>66</v>
      </c>
      <c r="E12" s="61" t="s">
        <v>67</v>
      </c>
      <c r="F12" s="59">
        <v>5.0</v>
      </c>
      <c r="G12" s="35" t="s">
        <v>68</v>
      </c>
      <c r="H12" s="35" t="s">
        <v>33</v>
      </c>
      <c r="I12" s="62" t="s">
        <v>69</v>
      </c>
      <c r="J12" s="35" t="s">
        <v>35</v>
      </c>
      <c r="K12" s="37">
        <v>29.0</v>
      </c>
      <c r="L12" s="37">
        <f t="shared" ref="L12:L19" si="12">(K12*F12)*1.05</f>
        <v>152.25</v>
      </c>
      <c r="M12" s="22">
        <v>329.0</v>
      </c>
      <c r="N12" s="35">
        <v>1.0</v>
      </c>
      <c r="O12" s="37">
        <f t="shared" si="2"/>
        <v>152.25</v>
      </c>
      <c r="P12" s="38">
        <f t="shared" si="3"/>
        <v>0.08</v>
      </c>
      <c r="Q12" s="24">
        <f t="shared" si="4"/>
        <v>302</v>
      </c>
      <c r="R12" s="39">
        <f t="shared" si="5"/>
        <v>0.01</v>
      </c>
      <c r="S12" s="35">
        <f t="shared" si="6"/>
        <v>74</v>
      </c>
      <c r="T12" s="37">
        <f t="shared" si="7"/>
        <v>103.34</v>
      </c>
      <c r="U12" s="40">
        <f t="shared" si="8"/>
        <v>225</v>
      </c>
      <c r="V12" s="40">
        <f t="shared" si="11"/>
        <v>225</v>
      </c>
      <c r="W12" s="41">
        <f t="shared" si="9"/>
        <v>72.75</v>
      </c>
      <c r="X12" s="42">
        <f t="shared" si="10"/>
        <v>72.75</v>
      </c>
      <c r="Y12" s="35" t="s">
        <v>36</v>
      </c>
      <c r="Z12" s="30"/>
      <c r="AA12" s="31"/>
      <c r="AB12" s="31"/>
      <c r="AC12" s="30"/>
      <c r="AD12" s="11"/>
    </row>
    <row r="13" ht="24.75" customHeight="1">
      <c r="A13" s="59" t="s">
        <v>70</v>
      </c>
      <c r="B13" s="59">
        <v>1.41102020108E11</v>
      </c>
      <c r="C13" s="59" t="s">
        <v>71</v>
      </c>
      <c r="D13" s="45"/>
      <c r="E13" s="45"/>
      <c r="F13" s="59">
        <v>8.0</v>
      </c>
      <c r="G13" s="20" t="s">
        <v>68</v>
      </c>
      <c r="H13" s="20" t="s">
        <v>33</v>
      </c>
      <c r="I13" s="63" t="s">
        <v>72</v>
      </c>
      <c r="J13" s="20" t="s">
        <v>35</v>
      </c>
      <c r="K13" s="21">
        <v>29.0</v>
      </c>
      <c r="L13" s="21">
        <f t="shared" si="12"/>
        <v>243.6</v>
      </c>
      <c r="M13" s="22">
        <v>489.0</v>
      </c>
      <c r="N13" s="20">
        <v>1.0</v>
      </c>
      <c r="O13" s="21">
        <f t="shared" si="2"/>
        <v>243.6</v>
      </c>
      <c r="P13" s="23">
        <f t="shared" si="3"/>
        <v>0.08</v>
      </c>
      <c r="Q13" s="24">
        <f t="shared" si="4"/>
        <v>449</v>
      </c>
      <c r="R13" s="25">
        <f t="shared" si="5"/>
        <v>0.01</v>
      </c>
      <c r="S13" s="20">
        <f t="shared" si="6"/>
        <v>74</v>
      </c>
      <c r="T13" s="21">
        <f t="shared" si="7"/>
        <v>117.61</v>
      </c>
      <c r="U13" s="26">
        <f t="shared" si="8"/>
        <v>371</v>
      </c>
      <c r="V13" s="26">
        <f t="shared" si="11"/>
        <v>371</v>
      </c>
      <c r="W13" s="27">
        <f t="shared" si="9"/>
        <v>127.4</v>
      </c>
      <c r="X13" s="28">
        <f t="shared" si="10"/>
        <v>127.4</v>
      </c>
      <c r="Y13" s="20" t="s">
        <v>36</v>
      </c>
      <c r="Z13" s="55"/>
      <c r="AA13" s="56"/>
      <c r="AB13" s="56"/>
      <c r="AC13" s="55"/>
      <c r="AD13" s="11"/>
    </row>
    <row r="14" ht="1.5" customHeight="1">
      <c r="A14" s="59"/>
      <c r="B14" s="59"/>
      <c r="C14" s="59"/>
      <c r="D14" s="12"/>
      <c r="E14" s="12"/>
      <c r="F14" s="59">
        <v>10.0</v>
      </c>
      <c r="G14" s="35" t="s">
        <v>68</v>
      </c>
      <c r="H14" s="35" t="s">
        <v>33</v>
      </c>
      <c r="I14" s="62" t="s">
        <v>73</v>
      </c>
      <c r="J14" s="35" t="s">
        <v>35</v>
      </c>
      <c r="K14" s="37"/>
      <c r="L14" s="37">
        <f t="shared" si="12"/>
        <v>0</v>
      </c>
      <c r="M14" s="22">
        <v>599.0</v>
      </c>
      <c r="N14" s="35">
        <v>1.0</v>
      </c>
      <c r="O14" s="37">
        <f t="shared" si="2"/>
        <v>0</v>
      </c>
      <c r="P14" s="38">
        <f t="shared" si="3"/>
        <v>0.08</v>
      </c>
      <c r="Q14" s="24">
        <f t="shared" si="4"/>
        <v>551</v>
      </c>
      <c r="R14" s="39">
        <f t="shared" si="5"/>
        <v>0.01</v>
      </c>
      <c r="S14" s="35">
        <f t="shared" si="6"/>
        <v>74</v>
      </c>
      <c r="T14" s="37">
        <f t="shared" si="7"/>
        <v>127.43</v>
      </c>
      <c r="U14" s="40">
        <f t="shared" si="8"/>
        <v>471</v>
      </c>
      <c r="V14" s="40">
        <f t="shared" si="11"/>
        <v>471</v>
      </c>
      <c r="W14" s="41">
        <f t="shared" si="9"/>
        <v>471</v>
      </c>
      <c r="X14" s="42">
        <f t="shared" si="10"/>
        <v>471</v>
      </c>
      <c r="Y14" s="35"/>
      <c r="Z14" s="55" t="s">
        <v>74</v>
      </c>
      <c r="AA14" s="56"/>
      <c r="AB14" s="56">
        <v>0.0</v>
      </c>
      <c r="AC14" s="55">
        <v>0.0</v>
      </c>
      <c r="AD14" s="11"/>
    </row>
    <row r="15" ht="24.75" customHeight="1">
      <c r="A15" s="59" t="s">
        <v>75</v>
      </c>
      <c r="B15" s="59">
        <v>1.41102020305E11</v>
      </c>
      <c r="C15" s="59" t="s">
        <v>76</v>
      </c>
      <c r="D15" s="60" t="s">
        <v>77</v>
      </c>
      <c r="E15" s="61" t="s">
        <v>78</v>
      </c>
      <c r="F15" s="59">
        <v>5.0</v>
      </c>
      <c r="G15" s="20" t="s">
        <v>68</v>
      </c>
      <c r="H15" s="20" t="s">
        <v>79</v>
      </c>
      <c r="I15" s="46" t="s">
        <v>80</v>
      </c>
      <c r="J15" s="20" t="s">
        <v>35</v>
      </c>
      <c r="K15" s="21">
        <v>15.0</v>
      </c>
      <c r="L15" s="21">
        <f t="shared" si="12"/>
        <v>78.75</v>
      </c>
      <c r="M15" s="22">
        <v>209.0</v>
      </c>
      <c r="N15" s="20">
        <v>1.0</v>
      </c>
      <c r="O15" s="21">
        <f t="shared" si="2"/>
        <v>78.75</v>
      </c>
      <c r="P15" s="23">
        <f t="shared" si="3"/>
        <v>0.08</v>
      </c>
      <c r="Q15" s="24">
        <f t="shared" si="4"/>
        <v>192</v>
      </c>
      <c r="R15" s="25">
        <f t="shared" si="5"/>
        <v>0.01</v>
      </c>
      <c r="S15" s="20">
        <f t="shared" si="6"/>
        <v>74</v>
      </c>
      <c r="T15" s="21">
        <f t="shared" si="7"/>
        <v>92.64</v>
      </c>
      <c r="U15" s="26">
        <f t="shared" si="8"/>
        <v>116</v>
      </c>
      <c r="V15" s="26">
        <f t="shared" si="11"/>
        <v>116</v>
      </c>
      <c r="W15" s="27">
        <f t="shared" si="9"/>
        <v>37.25</v>
      </c>
      <c r="X15" s="28">
        <f t="shared" si="10"/>
        <v>37.25</v>
      </c>
      <c r="Y15" s="20" t="s">
        <v>36</v>
      </c>
      <c r="Z15" s="55" t="s">
        <v>81</v>
      </c>
      <c r="AA15" s="64"/>
      <c r="AB15" s="64">
        <v>0.032</v>
      </c>
      <c r="AC15" s="55">
        <v>60.0</v>
      </c>
      <c r="AD15" s="11"/>
    </row>
    <row r="16" ht="24.75" customHeight="1">
      <c r="A16" s="59" t="s">
        <v>82</v>
      </c>
      <c r="B16" s="59">
        <v>1.41102020308E11</v>
      </c>
      <c r="C16" s="59" t="s">
        <v>83</v>
      </c>
      <c r="D16" s="49"/>
      <c r="E16" s="49"/>
      <c r="F16" s="59">
        <v>8.0</v>
      </c>
      <c r="G16" s="35" t="s">
        <v>68</v>
      </c>
      <c r="H16" s="35" t="s">
        <v>79</v>
      </c>
      <c r="I16" s="36" t="s">
        <v>84</v>
      </c>
      <c r="J16" s="35" t="s">
        <v>35</v>
      </c>
      <c r="K16" s="37">
        <v>15.0</v>
      </c>
      <c r="L16" s="37">
        <f t="shared" si="12"/>
        <v>126</v>
      </c>
      <c r="M16" s="22">
        <v>299.0</v>
      </c>
      <c r="N16" s="35">
        <v>1.0</v>
      </c>
      <c r="O16" s="37">
        <f t="shared" si="2"/>
        <v>126</v>
      </c>
      <c r="P16" s="38">
        <f t="shared" si="3"/>
        <v>0.08</v>
      </c>
      <c r="Q16" s="24">
        <f t="shared" si="4"/>
        <v>275</v>
      </c>
      <c r="R16" s="39">
        <f t="shared" si="5"/>
        <v>0.01</v>
      </c>
      <c r="S16" s="35">
        <f t="shared" si="6"/>
        <v>74</v>
      </c>
      <c r="T16" s="37">
        <f t="shared" si="7"/>
        <v>100.67</v>
      </c>
      <c r="U16" s="40">
        <f t="shared" si="8"/>
        <v>198</v>
      </c>
      <c r="V16" s="40">
        <f t="shared" si="11"/>
        <v>198</v>
      </c>
      <c r="W16" s="41">
        <f t="shared" si="9"/>
        <v>72</v>
      </c>
      <c r="X16" s="42">
        <f t="shared" si="10"/>
        <v>72</v>
      </c>
      <c r="Y16" s="35" t="s">
        <v>36</v>
      </c>
      <c r="Z16" s="55" t="s">
        <v>85</v>
      </c>
      <c r="AA16" s="64"/>
      <c r="AB16" s="56">
        <v>0.03</v>
      </c>
      <c r="AC16" s="55">
        <v>0.0</v>
      </c>
      <c r="AD16" s="11"/>
    </row>
    <row r="17" ht="1.5" customHeight="1">
      <c r="A17" s="59"/>
      <c r="B17" s="59"/>
      <c r="C17" s="59"/>
      <c r="D17" s="50"/>
      <c r="E17" s="50"/>
      <c r="F17" s="59">
        <v>10.0</v>
      </c>
      <c r="G17" s="20" t="s">
        <v>68</v>
      </c>
      <c r="H17" s="20" t="s">
        <v>79</v>
      </c>
      <c r="I17" s="63" t="s">
        <v>86</v>
      </c>
      <c r="J17" s="20" t="s">
        <v>35</v>
      </c>
      <c r="K17" s="21"/>
      <c r="L17" s="21">
        <f t="shared" si="12"/>
        <v>0</v>
      </c>
      <c r="M17" s="22">
        <v>359.0</v>
      </c>
      <c r="N17" s="20">
        <v>1.0</v>
      </c>
      <c r="O17" s="21">
        <f t="shared" si="2"/>
        <v>0</v>
      </c>
      <c r="P17" s="23">
        <f t="shared" si="3"/>
        <v>0.08</v>
      </c>
      <c r="Q17" s="24">
        <f t="shared" si="4"/>
        <v>330</v>
      </c>
      <c r="R17" s="25">
        <f t="shared" si="5"/>
        <v>0.01</v>
      </c>
      <c r="S17" s="20">
        <f t="shared" si="6"/>
        <v>74</v>
      </c>
      <c r="T17" s="21">
        <f t="shared" si="7"/>
        <v>106.02</v>
      </c>
      <c r="U17" s="26">
        <f t="shared" si="8"/>
        <v>252</v>
      </c>
      <c r="V17" s="26">
        <f t="shared" si="11"/>
        <v>252</v>
      </c>
      <c r="W17" s="27">
        <f t="shared" si="9"/>
        <v>252</v>
      </c>
      <c r="X17" s="28">
        <f t="shared" si="10"/>
        <v>252</v>
      </c>
      <c r="Y17" s="20"/>
      <c r="Z17" s="55"/>
      <c r="AA17" s="56"/>
      <c r="AB17" s="56"/>
      <c r="AC17" s="55"/>
      <c r="AD17" s="11"/>
    </row>
    <row r="18" ht="24.75" customHeight="1">
      <c r="A18" s="59" t="s">
        <v>87</v>
      </c>
      <c r="B18" s="59">
        <v>1.41102020205E11</v>
      </c>
      <c r="C18" s="59" t="s">
        <v>88</v>
      </c>
      <c r="D18" s="60" t="s">
        <v>89</v>
      </c>
      <c r="E18" s="61" t="s">
        <v>90</v>
      </c>
      <c r="F18" s="59">
        <v>5.0</v>
      </c>
      <c r="G18" s="35" t="s">
        <v>68</v>
      </c>
      <c r="H18" s="35" t="s">
        <v>51</v>
      </c>
      <c r="I18" s="36" t="s">
        <v>91</v>
      </c>
      <c r="J18" s="35" t="s">
        <v>35</v>
      </c>
      <c r="K18" s="37">
        <v>9.0</v>
      </c>
      <c r="L18" s="37">
        <f t="shared" si="12"/>
        <v>47.25</v>
      </c>
      <c r="M18" s="22">
        <v>149.0</v>
      </c>
      <c r="N18" s="35">
        <v>1.0</v>
      </c>
      <c r="O18" s="37">
        <f t="shared" si="2"/>
        <v>47.25</v>
      </c>
      <c r="P18" s="38">
        <f t="shared" si="3"/>
        <v>0.08</v>
      </c>
      <c r="Q18" s="24">
        <f t="shared" si="4"/>
        <v>137</v>
      </c>
      <c r="R18" s="39">
        <f t="shared" si="5"/>
        <v>0.01</v>
      </c>
      <c r="S18" s="35">
        <f t="shared" si="6"/>
        <v>74</v>
      </c>
      <c r="T18" s="37">
        <f t="shared" si="7"/>
        <v>87.29</v>
      </c>
      <c r="U18" s="40">
        <f t="shared" si="8"/>
        <v>61</v>
      </c>
      <c r="V18" s="40">
        <f t="shared" si="11"/>
        <v>61</v>
      </c>
      <c r="W18" s="41">
        <f t="shared" si="9"/>
        <v>13.75</v>
      </c>
      <c r="X18" s="42">
        <f t="shared" si="10"/>
        <v>13.75</v>
      </c>
      <c r="Y18" s="35" t="s">
        <v>36</v>
      </c>
      <c r="Z18" s="65"/>
      <c r="AA18" s="65"/>
      <c r="AB18" s="65"/>
      <c r="AC18" s="65"/>
      <c r="AD18" s="11"/>
    </row>
    <row r="19" ht="24.75" customHeight="1">
      <c r="A19" s="59" t="s">
        <v>92</v>
      </c>
      <c r="B19" s="59">
        <v>1.41102020208E11</v>
      </c>
      <c r="C19" s="59" t="s">
        <v>93</v>
      </c>
      <c r="D19" s="45"/>
      <c r="E19" s="45"/>
      <c r="F19" s="59">
        <v>8.0</v>
      </c>
      <c r="G19" s="20" t="s">
        <v>68</v>
      </c>
      <c r="H19" s="20" t="s">
        <v>51</v>
      </c>
      <c r="I19" s="46" t="s">
        <v>94</v>
      </c>
      <c r="J19" s="20" t="s">
        <v>35</v>
      </c>
      <c r="K19" s="21">
        <v>9.0</v>
      </c>
      <c r="L19" s="21">
        <f t="shared" si="12"/>
        <v>75.6</v>
      </c>
      <c r="M19" s="22">
        <v>199.0</v>
      </c>
      <c r="N19" s="20">
        <v>1.0</v>
      </c>
      <c r="O19" s="21">
        <f t="shared" si="2"/>
        <v>75.6</v>
      </c>
      <c r="P19" s="23">
        <f t="shared" si="3"/>
        <v>0.08</v>
      </c>
      <c r="Q19" s="24">
        <f t="shared" si="4"/>
        <v>183</v>
      </c>
      <c r="R19" s="25">
        <f t="shared" si="5"/>
        <v>0.01</v>
      </c>
      <c r="S19" s="20">
        <f t="shared" si="6"/>
        <v>74</v>
      </c>
      <c r="T19" s="21">
        <f t="shared" si="7"/>
        <v>91.75</v>
      </c>
      <c r="U19" s="26">
        <f t="shared" si="8"/>
        <v>107</v>
      </c>
      <c r="V19" s="26">
        <f t="shared" si="11"/>
        <v>107</v>
      </c>
      <c r="W19" s="27">
        <f t="shared" si="9"/>
        <v>31.4</v>
      </c>
      <c r="X19" s="28">
        <f t="shared" si="10"/>
        <v>31.4</v>
      </c>
      <c r="Y19" s="20" t="s">
        <v>36</v>
      </c>
      <c r="Z19" s="66"/>
      <c r="AA19" s="66"/>
      <c r="AB19" s="66"/>
      <c r="AC19" s="66"/>
      <c r="AD19" s="11"/>
    </row>
    <row r="20" ht="1.5" customHeight="1">
      <c r="A20" s="59"/>
      <c r="B20" s="59"/>
      <c r="C20" s="59"/>
      <c r="D20" s="12"/>
      <c r="E20" s="12"/>
      <c r="F20" s="59">
        <v>10.0</v>
      </c>
      <c r="G20" s="35" t="s">
        <v>68</v>
      </c>
      <c r="H20" s="35" t="s">
        <v>51</v>
      </c>
      <c r="I20" s="62" t="s">
        <v>95</v>
      </c>
      <c r="J20" s="35" t="s">
        <v>35</v>
      </c>
      <c r="K20" s="37"/>
      <c r="L20" s="37">
        <f>F20*9</f>
        <v>90</v>
      </c>
      <c r="M20" s="22">
        <v>239.0</v>
      </c>
      <c r="N20" s="35">
        <v>1.0</v>
      </c>
      <c r="O20" s="37">
        <f t="shared" si="2"/>
        <v>90</v>
      </c>
      <c r="P20" s="38">
        <f t="shared" si="3"/>
        <v>0.08</v>
      </c>
      <c r="Q20" s="24">
        <f t="shared" si="4"/>
        <v>219</v>
      </c>
      <c r="R20" s="39">
        <f t="shared" si="5"/>
        <v>0.01</v>
      </c>
      <c r="S20" s="35">
        <f t="shared" si="6"/>
        <v>74</v>
      </c>
      <c r="T20" s="37">
        <f t="shared" si="7"/>
        <v>95.31</v>
      </c>
      <c r="U20" s="40">
        <f t="shared" si="8"/>
        <v>143</v>
      </c>
      <c r="V20" s="40">
        <f t="shared" si="11"/>
        <v>143</v>
      </c>
      <c r="W20" s="41">
        <f t="shared" si="9"/>
        <v>53</v>
      </c>
      <c r="X20" s="42">
        <f t="shared" si="10"/>
        <v>53</v>
      </c>
      <c r="Y20" s="35"/>
      <c r="Z20" s="66"/>
      <c r="AA20" s="66"/>
      <c r="AB20" s="66"/>
      <c r="AC20" s="66"/>
      <c r="AD20" s="11"/>
    </row>
    <row r="21" ht="24.75" customHeight="1">
      <c r="A21" s="32" t="s">
        <v>96</v>
      </c>
      <c r="B21" s="32">
        <v>1.41107010103E11</v>
      </c>
      <c r="C21" s="32" t="s">
        <v>97</v>
      </c>
      <c r="D21" s="33" t="s">
        <v>98</v>
      </c>
      <c r="E21" s="34" t="s">
        <v>99</v>
      </c>
      <c r="F21" s="32">
        <v>3.0</v>
      </c>
      <c r="G21" s="20" t="s">
        <v>100</v>
      </c>
      <c r="H21" s="20" t="s">
        <v>33</v>
      </c>
      <c r="I21" s="63" t="s">
        <v>101</v>
      </c>
      <c r="J21" s="20" t="s">
        <v>35</v>
      </c>
      <c r="K21" s="21">
        <v>17.0</v>
      </c>
      <c r="L21" s="21">
        <f>(K21*F21)*1.05</f>
        <v>53.55</v>
      </c>
      <c r="M21" s="22">
        <v>239.0</v>
      </c>
      <c r="N21" s="20">
        <v>1.0</v>
      </c>
      <c r="O21" s="21">
        <f t="shared" si="2"/>
        <v>53.55</v>
      </c>
      <c r="P21" s="23">
        <f t="shared" si="3"/>
        <v>0.08</v>
      </c>
      <c r="Q21" s="24">
        <f t="shared" si="4"/>
        <v>219</v>
      </c>
      <c r="R21" s="25">
        <f t="shared" si="5"/>
        <v>0.01</v>
      </c>
      <c r="S21" s="20">
        <f t="shared" si="6"/>
        <v>74</v>
      </c>
      <c r="T21" s="21">
        <f t="shared" si="7"/>
        <v>95.31</v>
      </c>
      <c r="U21" s="26">
        <f t="shared" si="8"/>
        <v>143</v>
      </c>
      <c r="V21" s="26">
        <f t="shared" si="11"/>
        <v>143</v>
      </c>
      <c r="W21" s="27">
        <f t="shared" si="9"/>
        <v>89.45</v>
      </c>
      <c r="X21" s="28">
        <f t="shared" si="10"/>
        <v>89.45</v>
      </c>
      <c r="Y21" s="20" t="s">
        <v>102</v>
      </c>
      <c r="Z21" s="66"/>
      <c r="AA21" s="66"/>
      <c r="AB21" s="66"/>
      <c r="AC21" s="66"/>
      <c r="AD21" s="11"/>
    </row>
    <row r="22" ht="24.75" customHeight="1">
      <c r="A22" s="32" t="s">
        <v>103</v>
      </c>
      <c r="B22" s="32">
        <v>1.41107010105E11</v>
      </c>
      <c r="C22" s="32" t="s">
        <v>104</v>
      </c>
      <c r="D22" s="33" t="s">
        <v>105</v>
      </c>
      <c r="E22" s="12"/>
      <c r="F22" s="32">
        <v>5.0</v>
      </c>
      <c r="G22" s="35" t="s">
        <v>100</v>
      </c>
      <c r="H22" s="35" t="s">
        <v>33</v>
      </c>
      <c r="I22" s="62" t="s">
        <v>106</v>
      </c>
      <c r="J22" s="35" t="s">
        <v>35</v>
      </c>
      <c r="K22" s="37">
        <v>66.0</v>
      </c>
      <c r="L22" s="37">
        <f t="shared" ref="L22:L24" si="13">K22*1.05</f>
        <v>69.3</v>
      </c>
      <c r="M22" s="22">
        <v>349.0</v>
      </c>
      <c r="N22" s="35">
        <v>1.0</v>
      </c>
      <c r="O22" s="37">
        <f t="shared" si="2"/>
        <v>69.3</v>
      </c>
      <c r="P22" s="38">
        <f t="shared" si="3"/>
        <v>0.08</v>
      </c>
      <c r="Q22" s="24">
        <f t="shared" si="4"/>
        <v>321</v>
      </c>
      <c r="R22" s="39">
        <f t="shared" si="5"/>
        <v>0.01</v>
      </c>
      <c r="S22" s="35">
        <f t="shared" si="6"/>
        <v>74</v>
      </c>
      <c r="T22" s="37">
        <f t="shared" si="7"/>
        <v>105.13</v>
      </c>
      <c r="U22" s="40">
        <f t="shared" si="8"/>
        <v>243</v>
      </c>
      <c r="V22" s="40">
        <f t="shared" si="11"/>
        <v>243</v>
      </c>
      <c r="W22" s="41">
        <f t="shared" si="9"/>
        <v>173.7</v>
      </c>
      <c r="X22" s="42">
        <f t="shared" si="10"/>
        <v>173.7</v>
      </c>
      <c r="Y22" s="35" t="s">
        <v>102</v>
      </c>
      <c r="Z22" s="11"/>
      <c r="AA22" s="11"/>
      <c r="AB22" s="11"/>
      <c r="AC22" s="11"/>
      <c r="AD22" s="11"/>
    </row>
    <row r="23" ht="24.75" customHeight="1">
      <c r="A23" s="32" t="s">
        <v>107</v>
      </c>
      <c r="B23" s="32">
        <v>1.41107010108E11</v>
      </c>
      <c r="C23" s="32" t="s">
        <v>108</v>
      </c>
      <c r="D23" s="33" t="s">
        <v>109</v>
      </c>
      <c r="E23" s="34" t="s">
        <v>99</v>
      </c>
      <c r="F23" s="32">
        <v>8.0</v>
      </c>
      <c r="G23" s="20" t="s">
        <v>100</v>
      </c>
      <c r="H23" s="20" t="s">
        <v>33</v>
      </c>
      <c r="I23" s="63" t="s">
        <v>110</v>
      </c>
      <c r="J23" s="20" t="s">
        <v>35</v>
      </c>
      <c r="K23" s="21">
        <v>102.0</v>
      </c>
      <c r="L23" s="21">
        <f t="shared" si="13"/>
        <v>107.1</v>
      </c>
      <c r="M23" s="22">
        <v>499.0</v>
      </c>
      <c r="N23" s="20">
        <v>1.0</v>
      </c>
      <c r="O23" s="21">
        <f t="shared" si="2"/>
        <v>107.1</v>
      </c>
      <c r="P23" s="23">
        <f t="shared" si="3"/>
        <v>0.08</v>
      </c>
      <c r="Q23" s="24">
        <f t="shared" si="4"/>
        <v>459</v>
      </c>
      <c r="R23" s="25">
        <f t="shared" si="5"/>
        <v>0.01</v>
      </c>
      <c r="S23" s="20">
        <f t="shared" si="6"/>
        <v>74</v>
      </c>
      <c r="T23" s="21">
        <f t="shared" si="7"/>
        <v>118.51</v>
      </c>
      <c r="U23" s="26">
        <f t="shared" si="8"/>
        <v>380</v>
      </c>
      <c r="V23" s="26">
        <f t="shared" si="11"/>
        <v>380</v>
      </c>
      <c r="W23" s="27">
        <f t="shared" si="9"/>
        <v>272.9</v>
      </c>
      <c r="X23" s="28">
        <f t="shared" si="10"/>
        <v>272.9</v>
      </c>
      <c r="Y23" s="20" t="s">
        <v>102</v>
      </c>
      <c r="Z23" s="11"/>
      <c r="AA23" s="11"/>
      <c r="AB23" s="11"/>
      <c r="AC23" s="11"/>
      <c r="AD23" s="11"/>
    </row>
    <row r="24" ht="24.75" customHeight="1">
      <c r="A24" s="32" t="s">
        <v>111</v>
      </c>
      <c r="B24" s="32">
        <v>1.4110701011E11</v>
      </c>
      <c r="C24" s="32" t="s">
        <v>112</v>
      </c>
      <c r="D24" s="12"/>
      <c r="E24" s="12"/>
      <c r="F24" s="32">
        <v>10.0</v>
      </c>
      <c r="G24" s="35" t="s">
        <v>100</v>
      </c>
      <c r="H24" s="35" t="s">
        <v>33</v>
      </c>
      <c r="I24" s="62" t="s">
        <v>113</v>
      </c>
      <c r="J24" s="35" t="s">
        <v>35</v>
      </c>
      <c r="K24" s="37">
        <v>102.0</v>
      </c>
      <c r="L24" s="37">
        <f t="shared" si="13"/>
        <v>107.1</v>
      </c>
      <c r="M24" s="22">
        <v>619.0</v>
      </c>
      <c r="N24" s="35">
        <v>1.0</v>
      </c>
      <c r="O24" s="37">
        <f t="shared" si="2"/>
        <v>107.1</v>
      </c>
      <c r="P24" s="38">
        <f t="shared" si="3"/>
        <v>0.08</v>
      </c>
      <c r="Q24" s="24">
        <f t="shared" si="4"/>
        <v>569</v>
      </c>
      <c r="R24" s="39">
        <f t="shared" si="5"/>
        <v>0.01</v>
      </c>
      <c r="S24" s="35">
        <f t="shared" si="6"/>
        <v>74</v>
      </c>
      <c r="T24" s="37">
        <f t="shared" si="7"/>
        <v>129.21</v>
      </c>
      <c r="U24" s="40">
        <f t="shared" si="8"/>
        <v>489</v>
      </c>
      <c r="V24" s="40">
        <f t="shared" si="11"/>
        <v>489</v>
      </c>
      <c r="W24" s="41">
        <f t="shared" si="9"/>
        <v>381.9</v>
      </c>
      <c r="X24" s="42">
        <f t="shared" si="10"/>
        <v>381.9</v>
      </c>
      <c r="Y24" s="35" t="s">
        <v>102</v>
      </c>
      <c r="Z24" s="11"/>
      <c r="AA24" s="11"/>
      <c r="AB24" s="11"/>
      <c r="AC24" s="11"/>
      <c r="AD24" s="11"/>
    </row>
    <row r="25" ht="24.75" customHeight="1">
      <c r="A25" s="59" t="s">
        <v>114</v>
      </c>
      <c r="B25" s="59">
        <v>1.41108020203E11</v>
      </c>
      <c r="C25" s="59" t="s">
        <v>115</v>
      </c>
      <c r="D25" s="60" t="s">
        <v>116</v>
      </c>
      <c r="E25" s="61" t="s">
        <v>117</v>
      </c>
      <c r="F25" s="59">
        <v>3.0</v>
      </c>
      <c r="G25" s="20" t="s">
        <v>118</v>
      </c>
      <c r="H25" s="20" t="s">
        <v>51</v>
      </c>
      <c r="I25" s="63" t="s">
        <v>119</v>
      </c>
      <c r="J25" s="20" t="s">
        <v>35</v>
      </c>
      <c r="K25" s="21">
        <v>10.0</v>
      </c>
      <c r="L25" s="21">
        <f t="shared" ref="L25:L28" si="14">(K25*F25)*1.05</f>
        <v>31.5</v>
      </c>
      <c r="M25" s="22">
        <v>129.0</v>
      </c>
      <c r="N25" s="20">
        <v>1.0</v>
      </c>
      <c r="O25" s="21">
        <f t="shared" si="2"/>
        <v>31.5</v>
      </c>
      <c r="P25" s="23">
        <f t="shared" si="3"/>
        <v>0.08</v>
      </c>
      <c r="Q25" s="24">
        <f t="shared" si="4"/>
        <v>118</v>
      </c>
      <c r="R25" s="25">
        <f t="shared" si="5"/>
        <v>0.01</v>
      </c>
      <c r="S25" s="20">
        <f t="shared" si="6"/>
        <v>74</v>
      </c>
      <c r="T25" s="21">
        <f t="shared" si="7"/>
        <v>85.5</v>
      </c>
      <c r="U25" s="26">
        <f t="shared" si="8"/>
        <v>43</v>
      </c>
      <c r="V25" s="26">
        <f t="shared" si="11"/>
        <v>43</v>
      </c>
      <c r="W25" s="27">
        <f t="shared" si="9"/>
        <v>11.5</v>
      </c>
      <c r="X25" s="28">
        <f t="shared" si="10"/>
        <v>11.5</v>
      </c>
      <c r="Y25" s="20" t="s">
        <v>36</v>
      </c>
      <c r="Z25" s="11"/>
      <c r="AA25" s="11"/>
      <c r="AB25" s="11"/>
      <c r="AC25" s="11"/>
      <c r="AD25" s="11"/>
    </row>
    <row r="26" ht="24.75" customHeight="1">
      <c r="A26" s="59" t="s">
        <v>120</v>
      </c>
      <c r="B26" s="59">
        <v>1.41108020205E11</v>
      </c>
      <c r="C26" s="59" t="s">
        <v>121</v>
      </c>
      <c r="D26" s="12"/>
      <c r="E26" s="12"/>
      <c r="F26" s="59">
        <v>5.0</v>
      </c>
      <c r="G26" s="35" t="s">
        <v>118</v>
      </c>
      <c r="H26" s="35" t="s">
        <v>51</v>
      </c>
      <c r="I26" s="62" t="s">
        <v>122</v>
      </c>
      <c r="J26" s="35" t="s">
        <v>35</v>
      </c>
      <c r="K26" s="37">
        <v>10.0</v>
      </c>
      <c r="L26" s="37">
        <f t="shared" si="14"/>
        <v>52.5</v>
      </c>
      <c r="M26" s="22">
        <v>179.0</v>
      </c>
      <c r="N26" s="35">
        <v>1.0</v>
      </c>
      <c r="O26" s="37">
        <f t="shared" si="2"/>
        <v>52.5</v>
      </c>
      <c r="P26" s="38">
        <f t="shared" si="3"/>
        <v>0.08</v>
      </c>
      <c r="Q26" s="24">
        <f t="shared" si="4"/>
        <v>164</v>
      </c>
      <c r="R26" s="39">
        <f t="shared" si="5"/>
        <v>0.01</v>
      </c>
      <c r="S26" s="35">
        <f t="shared" si="6"/>
        <v>74</v>
      </c>
      <c r="T26" s="37">
        <f t="shared" si="7"/>
        <v>89.96</v>
      </c>
      <c r="U26" s="40">
        <f t="shared" si="8"/>
        <v>89</v>
      </c>
      <c r="V26" s="40">
        <f t="shared" si="11"/>
        <v>89</v>
      </c>
      <c r="W26" s="41">
        <f t="shared" si="9"/>
        <v>36.5</v>
      </c>
      <c r="X26" s="42">
        <f t="shared" si="10"/>
        <v>36.5</v>
      </c>
      <c r="Y26" s="35" t="s">
        <v>36</v>
      </c>
      <c r="Z26" s="11"/>
      <c r="AA26" s="11"/>
      <c r="AB26" s="11"/>
      <c r="AC26" s="11"/>
      <c r="AD26" s="11"/>
    </row>
    <row r="27" ht="24.75" customHeight="1">
      <c r="A27" s="59" t="s">
        <v>123</v>
      </c>
      <c r="B27" s="59">
        <v>1.41108020105E11</v>
      </c>
      <c r="C27" s="59" t="s">
        <v>124</v>
      </c>
      <c r="D27" s="60" t="s">
        <v>125</v>
      </c>
      <c r="E27" s="61" t="s">
        <v>126</v>
      </c>
      <c r="F27" s="59">
        <v>5.0</v>
      </c>
      <c r="G27" s="20" t="s">
        <v>118</v>
      </c>
      <c r="H27" s="20" t="s">
        <v>33</v>
      </c>
      <c r="I27" s="63" t="s">
        <v>127</v>
      </c>
      <c r="J27" s="20" t="s">
        <v>35</v>
      </c>
      <c r="K27" s="21">
        <v>23.0</v>
      </c>
      <c r="L27" s="21">
        <f t="shared" si="14"/>
        <v>120.75</v>
      </c>
      <c r="M27" s="22">
        <v>289.0</v>
      </c>
      <c r="N27" s="20">
        <v>1.0</v>
      </c>
      <c r="O27" s="21">
        <f t="shared" si="2"/>
        <v>120.75</v>
      </c>
      <c r="P27" s="23">
        <f t="shared" si="3"/>
        <v>0.08</v>
      </c>
      <c r="Q27" s="24">
        <f t="shared" si="4"/>
        <v>265</v>
      </c>
      <c r="R27" s="25">
        <f t="shared" si="5"/>
        <v>0.01</v>
      </c>
      <c r="S27" s="20">
        <f t="shared" si="6"/>
        <v>74</v>
      </c>
      <c r="T27" s="21">
        <f t="shared" si="7"/>
        <v>99.77</v>
      </c>
      <c r="U27" s="26">
        <f t="shared" si="8"/>
        <v>189</v>
      </c>
      <c r="V27" s="26">
        <f t="shared" si="11"/>
        <v>189</v>
      </c>
      <c r="W27" s="27">
        <f t="shared" si="9"/>
        <v>68.25</v>
      </c>
      <c r="X27" s="28">
        <f t="shared" si="10"/>
        <v>68.25</v>
      </c>
      <c r="Y27" s="20" t="s">
        <v>36</v>
      </c>
      <c r="Z27" s="11"/>
      <c r="AA27" s="11"/>
      <c r="AB27" s="11"/>
      <c r="AC27" s="11"/>
      <c r="AD27" s="11"/>
    </row>
    <row r="28" ht="24.75" customHeight="1">
      <c r="A28" s="59" t="s">
        <v>128</v>
      </c>
      <c r="B28" s="59">
        <v>1.41108020106E11</v>
      </c>
      <c r="C28" s="59" t="s">
        <v>129</v>
      </c>
      <c r="D28" s="49"/>
      <c r="E28" s="49"/>
      <c r="F28" s="59">
        <v>6.0</v>
      </c>
      <c r="G28" s="35" t="s">
        <v>118</v>
      </c>
      <c r="H28" s="35" t="s">
        <v>33</v>
      </c>
      <c r="I28" s="62" t="s">
        <v>130</v>
      </c>
      <c r="J28" s="35" t="s">
        <v>35</v>
      </c>
      <c r="K28" s="37">
        <v>23.0</v>
      </c>
      <c r="L28" s="37">
        <f t="shared" si="14"/>
        <v>144.9</v>
      </c>
      <c r="M28" s="22">
        <v>339.0</v>
      </c>
      <c r="N28" s="35">
        <v>1.0</v>
      </c>
      <c r="O28" s="37">
        <f t="shared" si="2"/>
        <v>144.9</v>
      </c>
      <c r="P28" s="38">
        <f t="shared" si="3"/>
        <v>0.08</v>
      </c>
      <c r="Q28" s="24">
        <f t="shared" si="4"/>
        <v>311</v>
      </c>
      <c r="R28" s="39">
        <f t="shared" si="5"/>
        <v>0.01</v>
      </c>
      <c r="S28" s="35">
        <f t="shared" si="6"/>
        <v>74</v>
      </c>
      <c r="T28" s="37">
        <f t="shared" si="7"/>
        <v>104.23</v>
      </c>
      <c r="U28" s="40">
        <f t="shared" si="8"/>
        <v>234</v>
      </c>
      <c r="V28" s="40">
        <f t="shared" si="11"/>
        <v>234</v>
      </c>
      <c r="W28" s="41">
        <f t="shared" si="9"/>
        <v>89.1</v>
      </c>
      <c r="X28" s="42">
        <f t="shared" si="10"/>
        <v>89.1</v>
      </c>
      <c r="Y28" s="35" t="s">
        <v>36</v>
      </c>
      <c r="Z28" s="11"/>
      <c r="AA28" s="11"/>
      <c r="AB28" s="11"/>
      <c r="AC28" s="11"/>
      <c r="AD28" s="11"/>
    </row>
    <row r="29" ht="1.5" customHeight="1">
      <c r="A29" s="59"/>
      <c r="B29" s="59"/>
      <c r="C29" s="59"/>
      <c r="D29" s="50"/>
      <c r="E29" s="50"/>
      <c r="F29" s="59">
        <v>7.0</v>
      </c>
      <c r="G29" s="20" t="s">
        <v>118</v>
      </c>
      <c r="H29" s="20" t="s">
        <v>33</v>
      </c>
      <c r="I29" s="63" t="s">
        <v>131</v>
      </c>
      <c r="J29" s="20" t="s">
        <v>35</v>
      </c>
      <c r="K29" s="21"/>
      <c r="L29" s="21">
        <f>23*F29</f>
        <v>161</v>
      </c>
      <c r="M29" s="22">
        <v>389.0</v>
      </c>
      <c r="N29" s="20">
        <v>1.0</v>
      </c>
      <c r="O29" s="21">
        <f t="shared" si="2"/>
        <v>161</v>
      </c>
      <c r="P29" s="23">
        <f t="shared" si="3"/>
        <v>0.08</v>
      </c>
      <c r="Q29" s="24">
        <f t="shared" si="4"/>
        <v>357</v>
      </c>
      <c r="R29" s="25">
        <f t="shared" si="5"/>
        <v>0.01</v>
      </c>
      <c r="S29" s="20">
        <f t="shared" si="6"/>
        <v>74</v>
      </c>
      <c r="T29" s="21">
        <f t="shared" si="7"/>
        <v>108.69</v>
      </c>
      <c r="U29" s="26">
        <f t="shared" si="8"/>
        <v>280</v>
      </c>
      <c r="V29" s="26">
        <f t="shared" si="11"/>
        <v>280</v>
      </c>
      <c r="W29" s="27">
        <f t="shared" si="9"/>
        <v>119</v>
      </c>
      <c r="X29" s="28">
        <f t="shared" si="10"/>
        <v>119</v>
      </c>
      <c r="Y29" s="20"/>
      <c r="Z29" s="11"/>
      <c r="AA29" s="11"/>
      <c r="AB29" s="11"/>
      <c r="AC29" s="11"/>
      <c r="AD29" s="11"/>
    </row>
    <row r="30" ht="24.75" customHeight="1">
      <c r="A30" s="32" t="s">
        <v>132</v>
      </c>
      <c r="B30" s="32">
        <v>1.41109120203E11</v>
      </c>
      <c r="C30" s="32" t="s">
        <v>133</v>
      </c>
      <c r="D30" s="33" t="s">
        <v>134</v>
      </c>
      <c r="E30" s="34" t="s">
        <v>135</v>
      </c>
      <c r="F30" s="32">
        <v>3.0</v>
      </c>
      <c r="G30" s="35" t="s">
        <v>136</v>
      </c>
      <c r="H30" s="35" t="s">
        <v>51</v>
      </c>
      <c r="I30" s="62" t="s">
        <v>137</v>
      </c>
      <c r="J30" s="35" t="s">
        <v>35</v>
      </c>
      <c r="K30" s="37">
        <v>10.0</v>
      </c>
      <c r="L30" s="37">
        <f t="shared" ref="L30:L47" si="15">(K30*F30)*1.05</f>
        <v>31.5</v>
      </c>
      <c r="M30" s="22">
        <v>129.0</v>
      </c>
      <c r="N30" s="35">
        <v>1.0</v>
      </c>
      <c r="O30" s="37">
        <f t="shared" si="2"/>
        <v>31.5</v>
      </c>
      <c r="P30" s="38">
        <f t="shared" si="3"/>
        <v>0.08</v>
      </c>
      <c r="Q30" s="24">
        <f t="shared" si="4"/>
        <v>118</v>
      </c>
      <c r="R30" s="39">
        <f t="shared" si="5"/>
        <v>0.01</v>
      </c>
      <c r="S30" s="35">
        <f t="shared" si="6"/>
        <v>74</v>
      </c>
      <c r="T30" s="37">
        <f t="shared" si="7"/>
        <v>85.5</v>
      </c>
      <c r="U30" s="40">
        <f t="shared" si="8"/>
        <v>43</v>
      </c>
      <c r="V30" s="40">
        <f t="shared" si="11"/>
        <v>43</v>
      </c>
      <c r="W30" s="41">
        <f t="shared" si="9"/>
        <v>11.5</v>
      </c>
      <c r="X30" s="42">
        <f t="shared" si="10"/>
        <v>11.5</v>
      </c>
      <c r="Y30" s="35" t="s">
        <v>36</v>
      </c>
      <c r="Z30" s="11"/>
      <c r="AA30" s="11"/>
      <c r="AB30" s="11"/>
      <c r="AC30" s="11"/>
      <c r="AD30" s="11"/>
    </row>
    <row r="31" ht="24.75" customHeight="1">
      <c r="A31" s="32" t="s">
        <v>138</v>
      </c>
      <c r="B31" s="32">
        <v>1.41109120205E11</v>
      </c>
      <c r="C31" s="32" t="s">
        <v>139</v>
      </c>
      <c r="D31" s="45"/>
      <c r="E31" s="45"/>
      <c r="F31" s="32">
        <v>5.0</v>
      </c>
      <c r="G31" s="20" t="s">
        <v>136</v>
      </c>
      <c r="H31" s="20" t="s">
        <v>51</v>
      </c>
      <c r="I31" s="63" t="s">
        <v>140</v>
      </c>
      <c r="J31" s="20" t="s">
        <v>35</v>
      </c>
      <c r="K31" s="21">
        <v>10.0</v>
      </c>
      <c r="L31" s="21">
        <f t="shared" si="15"/>
        <v>52.5</v>
      </c>
      <c r="M31" s="22">
        <v>169.0</v>
      </c>
      <c r="N31" s="20">
        <v>1.0</v>
      </c>
      <c r="O31" s="21">
        <f t="shared" si="2"/>
        <v>52.5</v>
      </c>
      <c r="P31" s="23">
        <f t="shared" si="3"/>
        <v>0.08</v>
      </c>
      <c r="Q31" s="24">
        <f t="shared" si="4"/>
        <v>155</v>
      </c>
      <c r="R31" s="25">
        <f t="shared" si="5"/>
        <v>0.01</v>
      </c>
      <c r="S31" s="20">
        <f t="shared" si="6"/>
        <v>74</v>
      </c>
      <c r="T31" s="21">
        <f t="shared" si="7"/>
        <v>89.07</v>
      </c>
      <c r="U31" s="26">
        <f t="shared" si="8"/>
        <v>79</v>
      </c>
      <c r="V31" s="26">
        <f t="shared" si="11"/>
        <v>79</v>
      </c>
      <c r="W31" s="27">
        <f t="shared" si="9"/>
        <v>26.5</v>
      </c>
      <c r="X31" s="28">
        <f t="shared" si="10"/>
        <v>26.5</v>
      </c>
      <c r="Y31" s="20" t="s">
        <v>36</v>
      </c>
      <c r="Z31" s="11"/>
      <c r="AA31" s="11"/>
      <c r="AB31" s="11"/>
      <c r="AC31" s="11"/>
      <c r="AD31" s="11"/>
    </row>
    <row r="32" ht="1.5" customHeight="1">
      <c r="A32" s="32"/>
      <c r="B32" s="32"/>
      <c r="C32" s="32"/>
      <c r="D32" s="12"/>
      <c r="E32" s="12"/>
      <c r="F32" s="32">
        <v>8.0</v>
      </c>
      <c r="G32" s="35" t="s">
        <v>136</v>
      </c>
      <c r="H32" s="35" t="s">
        <v>51</v>
      </c>
      <c r="I32" s="62" t="s">
        <v>141</v>
      </c>
      <c r="J32" s="35" t="s">
        <v>35</v>
      </c>
      <c r="K32" s="37"/>
      <c r="L32" s="37">
        <f t="shared" si="15"/>
        <v>0</v>
      </c>
      <c r="M32" s="22">
        <v>219.0</v>
      </c>
      <c r="N32" s="35">
        <v>1.0</v>
      </c>
      <c r="O32" s="37">
        <f t="shared" si="2"/>
        <v>0</v>
      </c>
      <c r="P32" s="38">
        <f t="shared" si="3"/>
        <v>0.08</v>
      </c>
      <c r="Q32" s="24">
        <f t="shared" si="4"/>
        <v>201</v>
      </c>
      <c r="R32" s="39">
        <f t="shared" si="5"/>
        <v>0.01</v>
      </c>
      <c r="S32" s="35">
        <f t="shared" si="6"/>
        <v>74</v>
      </c>
      <c r="T32" s="37">
        <f t="shared" si="7"/>
        <v>93.53</v>
      </c>
      <c r="U32" s="40">
        <f t="shared" si="8"/>
        <v>125</v>
      </c>
      <c r="V32" s="40">
        <f t="shared" si="11"/>
        <v>125</v>
      </c>
      <c r="W32" s="41">
        <f t="shared" si="9"/>
        <v>125</v>
      </c>
      <c r="X32" s="42">
        <f t="shared" si="10"/>
        <v>125</v>
      </c>
      <c r="Y32" s="67"/>
      <c r="Z32" s="11"/>
      <c r="AA32" s="11"/>
      <c r="AB32" s="11"/>
      <c r="AC32" s="11"/>
      <c r="AD32" s="11"/>
    </row>
    <row r="33" ht="24.75" customHeight="1">
      <c r="A33" s="32" t="s">
        <v>142</v>
      </c>
      <c r="B33" s="32">
        <v>1.41109120103E11</v>
      </c>
      <c r="C33" s="32" t="s">
        <v>143</v>
      </c>
      <c r="D33" s="33" t="s">
        <v>144</v>
      </c>
      <c r="E33" s="34" t="s">
        <v>135</v>
      </c>
      <c r="F33" s="32">
        <v>3.0</v>
      </c>
      <c r="G33" s="20" t="s">
        <v>136</v>
      </c>
      <c r="H33" s="20" t="s">
        <v>33</v>
      </c>
      <c r="I33" s="63" t="s">
        <v>145</v>
      </c>
      <c r="J33" s="20" t="s">
        <v>35</v>
      </c>
      <c r="K33" s="21">
        <v>27.0</v>
      </c>
      <c r="L33" s="21">
        <f t="shared" si="15"/>
        <v>85.05</v>
      </c>
      <c r="M33" s="22">
        <v>219.0</v>
      </c>
      <c r="N33" s="20">
        <v>1.0</v>
      </c>
      <c r="O33" s="21">
        <f t="shared" si="2"/>
        <v>85.05</v>
      </c>
      <c r="P33" s="23">
        <f t="shared" si="3"/>
        <v>0.08</v>
      </c>
      <c r="Q33" s="24">
        <f t="shared" si="4"/>
        <v>201</v>
      </c>
      <c r="R33" s="25">
        <f t="shared" si="5"/>
        <v>0.01</v>
      </c>
      <c r="S33" s="20">
        <f t="shared" si="6"/>
        <v>74</v>
      </c>
      <c r="T33" s="21">
        <f t="shared" si="7"/>
        <v>93.53</v>
      </c>
      <c r="U33" s="26">
        <f t="shared" si="8"/>
        <v>125</v>
      </c>
      <c r="V33" s="26">
        <f t="shared" si="11"/>
        <v>125</v>
      </c>
      <c r="W33" s="27">
        <f t="shared" si="9"/>
        <v>39.95</v>
      </c>
      <c r="X33" s="28">
        <f t="shared" si="10"/>
        <v>39.95</v>
      </c>
      <c r="Y33" s="20" t="s">
        <v>36</v>
      </c>
      <c r="Z33" s="11"/>
      <c r="AA33" s="11"/>
      <c r="AB33" s="11"/>
      <c r="AC33" s="11"/>
      <c r="AD33" s="11"/>
    </row>
    <row r="34" ht="24.75" customHeight="1">
      <c r="A34" s="32" t="s">
        <v>146</v>
      </c>
      <c r="B34" s="32">
        <v>1.41109120105E11</v>
      </c>
      <c r="C34" s="32" t="s">
        <v>147</v>
      </c>
      <c r="D34" s="49"/>
      <c r="E34" s="49"/>
      <c r="F34" s="32">
        <v>5.0</v>
      </c>
      <c r="G34" s="35" t="s">
        <v>136</v>
      </c>
      <c r="H34" s="35" t="s">
        <v>33</v>
      </c>
      <c r="I34" s="62" t="s">
        <v>148</v>
      </c>
      <c r="J34" s="35" t="s">
        <v>35</v>
      </c>
      <c r="K34" s="37">
        <v>27.0</v>
      </c>
      <c r="L34" s="37">
        <f t="shared" si="15"/>
        <v>141.75</v>
      </c>
      <c r="M34" s="22">
        <v>319.0</v>
      </c>
      <c r="N34" s="35">
        <v>1.0</v>
      </c>
      <c r="O34" s="37">
        <f t="shared" si="2"/>
        <v>141.75</v>
      </c>
      <c r="P34" s="38">
        <f t="shared" si="3"/>
        <v>0.08</v>
      </c>
      <c r="Q34" s="24">
        <f t="shared" si="4"/>
        <v>293</v>
      </c>
      <c r="R34" s="39">
        <f t="shared" si="5"/>
        <v>0.01</v>
      </c>
      <c r="S34" s="35">
        <f t="shared" si="6"/>
        <v>74</v>
      </c>
      <c r="T34" s="37">
        <f t="shared" si="7"/>
        <v>102.45</v>
      </c>
      <c r="U34" s="40">
        <f t="shared" si="8"/>
        <v>216</v>
      </c>
      <c r="V34" s="40">
        <f t="shared" si="11"/>
        <v>216</v>
      </c>
      <c r="W34" s="41">
        <f t="shared" si="9"/>
        <v>74.25</v>
      </c>
      <c r="X34" s="42">
        <f t="shared" si="10"/>
        <v>74.25</v>
      </c>
      <c r="Y34" s="35" t="s">
        <v>36</v>
      </c>
      <c r="Z34" s="11"/>
      <c r="AA34" s="11"/>
      <c r="AB34" s="11"/>
      <c r="AC34" s="11"/>
      <c r="AD34" s="11"/>
    </row>
    <row r="35" ht="24.75" customHeight="1">
      <c r="A35" s="32" t="s">
        <v>149</v>
      </c>
      <c r="B35" s="32">
        <v>1.41109120108E11</v>
      </c>
      <c r="C35" s="32" t="s">
        <v>150</v>
      </c>
      <c r="D35" s="45"/>
      <c r="E35" s="45"/>
      <c r="F35" s="32">
        <v>8.0</v>
      </c>
      <c r="G35" s="20" t="s">
        <v>136</v>
      </c>
      <c r="H35" s="20" t="s">
        <v>33</v>
      </c>
      <c r="I35" s="63" t="s">
        <v>151</v>
      </c>
      <c r="J35" s="20" t="s">
        <v>35</v>
      </c>
      <c r="K35" s="21">
        <v>27.0</v>
      </c>
      <c r="L35" s="21">
        <f t="shared" si="15"/>
        <v>226.8</v>
      </c>
      <c r="M35" s="22">
        <v>459.0</v>
      </c>
      <c r="N35" s="20">
        <v>1.0</v>
      </c>
      <c r="O35" s="21">
        <f t="shared" si="2"/>
        <v>226.8</v>
      </c>
      <c r="P35" s="23">
        <f t="shared" si="3"/>
        <v>0.08</v>
      </c>
      <c r="Q35" s="24">
        <f t="shared" si="4"/>
        <v>422</v>
      </c>
      <c r="R35" s="25">
        <f t="shared" si="5"/>
        <v>0.01</v>
      </c>
      <c r="S35" s="20">
        <f t="shared" si="6"/>
        <v>74</v>
      </c>
      <c r="T35" s="21">
        <f t="shared" si="7"/>
        <v>114.94</v>
      </c>
      <c r="U35" s="26">
        <f t="shared" si="8"/>
        <v>344</v>
      </c>
      <c r="V35" s="26">
        <f t="shared" si="11"/>
        <v>344</v>
      </c>
      <c r="W35" s="27">
        <f t="shared" si="9"/>
        <v>117.2</v>
      </c>
      <c r="X35" s="28">
        <f t="shared" si="10"/>
        <v>117.2</v>
      </c>
      <c r="Y35" s="20" t="s">
        <v>36</v>
      </c>
      <c r="Z35" s="11"/>
      <c r="AA35" s="11"/>
      <c r="AB35" s="11"/>
      <c r="AC35" s="11"/>
      <c r="AD35" s="11"/>
    </row>
    <row r="36" ht="1.5" customHeight="1">
      <c r="A36" s="32"/>
      <c r="B36" s="32"/>
      <c r="C36" s="32"/>
      <c r="D36" s="12"/>
      <c r="E36" s="12"/>
      <c r="F36" s="32">
        <v>10.0</v>
      </c>
      <c r="G36" s="35" t="s">
        <v>136</v>
      </c>
      <c r="H36" s="35" t="s">
        <v>33</v>
      </c>
      <c r="I36" s="62" t="s">
        <v>152</v>
      </c>
      <c r="J36" s="35" t="s">
        <v>35</v>
      </c>
      <c r="K36" s="37"/>
      <c r="L36" s="37">
        <f t="shared" si="15"/>
        <v>0</v>
      </c>
      <c r="M36" s="22">
        <v>569.0</v>
      </c>
      <c r="N36" s="35">
        <v>1.0</v>
      </c>
      <c r="O36" s="37">
        <f t="shared" si="2"/>
        <v>0</v>
      </c>
      <c r="P36" s="38">
        <f t="shared" si="3"/>
        <v>0.08</v>
      </c>
      <c r="Q36" s="24">
        <f t="shared" si="4"/>
        <v>523</v>
      </c>
      <c r="R36" s="39">
        <f t="shared" si="5"/>
        <v>0.01</v>
      </c>
      <c r="S36" s="35">
        <f t="shared" si="6"/>
        <v>74</v>
      </c>
      <c r="T36" s="37">
        <f t="shared" si="7"/>
        <v>124.75</v>
      </c>
      <c r="U36" s="40">
        <f t="shared" si="8"/>
        <v>444</v>
      </c>
      <c r="V36" s="40">
        <f t="shared" si="11"/>
        <v>444</v>
      </c>
      <c r="W36" s="41">
        <f t="shared" si="9"/>
        <v>444</v>
      </c>
      <c r="X36" s="42">
        <f t="shared" si="10"/>
        <v>444</v>
      </c>
      <c r="Y36" s="35"/>
      <c r="Z36" s="11"/>
      <c r="AA36" s="11"/>
      <c r="AB36" s="11"/>
      <c r="AC36" s="11"/>
      <c r="AD36" s="11"/>
    </row>
    <row r="37" ht="24.75" customHeight="1">
      <c r="A37" s="59" t="s">
        <v>153</v>
      </c>
      <c r="B37" s="59">
        <v>1.41104110103E11</v>
      </c>
      <c r="C37" s="59" t="s">
        <v>154</v>
      </c>
      <c r="D37" s="68" t="s">
        <v>155</v>
      </c>
      <c r="E37" s="69" t="s">
        <v>156</v>
      </c>
      <c r="F37" s="59">
        <v>3.0</v>
      </c>
      <c r="G37" s="20" t="s">
        <v>157</v>
      </c>
      <c r="H37" s="20" t="s">
        <v>33</v>
      </c>
      <c r="I37" s="46" t="s">
        <v>158</v>
      </c>
      <c r="J37" s="20" t="s">
        <v>35</v>
      </c>
      <c r="K37" s="70">
        <v>27.0</v>
      </c>
      <c r="L37" s="21">
        <f t="shared" si="15"/>
        <v>85.05</v>
      </c>
      <c r="M37" s="22">
        <v>199.0</v>
      </c>
      <c r="N37" s="20">
        <v>1.0</v>
      </c>
      <c r="O37" s="21">
        <f t="shared" si="2"/>
        <v>85.05</v>
      </c>
      <c r="P37" s="23">
        <f t="shared" si="3"/>
        <v>0.08</v>
      </c>
      <c r="Q37" s="24">
        <f t="shared" si="4"/>
        <v>183</v>
      </c>
      <c r="R37" s="25">
        <f t="shared" si="5"/>
        <v>0.01</v>
      </c>
      <c r="S37" s="20">
        <f t="shared" si="6"/>
        <v>74</v>
      </c>
      <c r="T37" s="21">
        <f t="shared" si="7"/>
        <v>91.75</v>
      </c>
      <c r="U37" s="26">
        <f t="shared" si="8"/>
        <v>107</v>
      </c>
      <c r="V37" s="26">
        <f t="shared" si="11"/>
        <v>107</v>
      </c>
      <c r="W37" s="27">
        <f t="shared" si="9"/>
        <v>21.95</v>
      </c>
      <c r="X37" s="28">
        <f t="shared" si="10"/>
        <v>21.95</v>
      </c>
      <c r="Y37" s="20" t="s">
        <v>102</v>
      </c>
      <c r="Z37" s="11"/>
      <c r="AA37" s="11"/>
      <c r="AB37" s="11"/>
      <c r="AC37" s="11"/>
      <c r="AD37" s="11"/>
    </row>
    <row r="38" ht="24.75" customHeight="1">
      <c r="A38" s="59" t="s">
        <v>159</v>
      </c>
      <c r="B38" s="59">
        <v>1.41104110104E11</v>
      </c>
      <c r="C38" s="59" t="s">
        <v>160</v>
      </c>
      <c r="D38" s="49"/>
      <c r="E38" s="49"/>
      <c r="F38" s="59">
        <v>4.0</v>
      </c>
      <c r="G38" s="35" t="s">
        <v>157</v>
      </c>
      <c r="H38" s="35" t="s">
        <v>33</v>
      </c>
      <c r="I38" s="62" t="s">
        <v>161</v>
      </c>
      <c r="J38" s="35" t="s">
        <v>35</v>
      </c>
      <c r="K38" s="71">
        <v>27.0</v>
      </c>
      <c r="L38" s="37">
        <f t="shared" si="15"/>
        <v>113.4</v>
      </c>
      <c r="M38" s="22">
        <v>259.0</v>
      </c>
      <c r="N38" s="35">
        <v>1.0</v>
      </c>
      <c r="O38" s="37">
        <f t="shared" si="2"/>
        <v>113.4</v>
      </c>
      <c r="P38" s="38">
        <f t="shared" si="3"/>
        <v>0.08</v>
      </c>
      <c r="Q38" s="24">
        <f t="shared" si="4"/>
        <v>238</v>
      </c>
      <c r="R38" s="39">
        <f t="shared" si="5"/>
        <v>0.01</v>
      </c>
      <c r="S38" s="35">
        <f t="shared" si="6"/>
        <v>74</v>
      </c>
      <c r="T38" s="37">
        <f t="shared" si="7"/>
        <v>97.1</v>
      </c>
      <c r="U38" s="40">
        <f t="shared" si="8"/>
        <v>161</v>
      </c>
      <c r="V38" s="40">
        <f t="shared" si="11"/>
        <v>161</v>
      </c>
      <c r="W38" s="41">
        <f t="shared" si="9"/>
        <v>47.6</v>
      </c>
      <c r="X38" s="42">
        <f t="shared" si="10"/>
        <v>47.6</v>
      </c>
      <c r="Y38" s="35" t="s">
        <v>102</v>
      </c>
      <c r="Z38" s="11"/>
      <c r="AA38" s="11"/>
      <c r="AB38" s="11"/>
      <c r="AC38" s="11"/>
      <c r="AD38" s="11"/>
    </row>
    <row r="39" ht="24.75" customHeight="1">
      <c r="A39" s="59" t="s">
        <v>162</v>
      </c>
      <c r="B39" s="59">
        <v>1.41104110105E11</v>
      </c>
      <c r="C39" s="59" t="s">
        <v>163</v>
      </c>
      <c r="D39" s="45"/>
      <c r="E39" s="45"/>
      <c r="F39" s="59">
        <v>5.0</v>
      </c>
      <c r="G39" s="20" t="s">
        <v>157</v>
      </c>
      <c r="H39" s="20" t="s">
        <v>33</v>
      </c>
      <c r="I39" s="63" t="s">
        <v>164</v>
      </c>
      <c r="J39" s="20" t="s">
        <v>35</v>
      </c>
      <c r="K39" s="70">
        <v>27.0</v>
      </c>
      <c r="L39" s="21">
        <f t="shared" si="15"/>
        <v>141.75</v>
      </c>
      <c r="M39" s="22">
        <v>299.0</v>
      </c>
      <c r="N39" s="20">
        <v>1.0</v>
      </c>
      <c r="O39" s="21">
        <f t="shared" si="2"/>
        <v>141.75</v>
      </c>
      <c r="P39" s="23">
        <f t="shared" si="3"/>
        <v>0.08</v>
      </c>
      <c r="Q39" s="24">
        <f t="shared" si="4"/>
        <v>275</v>
      </c>
      <c r="R39" s="25">
        <f t="shared" si="5"/>
        <v>0.01</v>
      </c>
      <c r="S39" s="20">
        <f t="shared" si="6"/>
        <v>74</v>
      </c>
      <c r="T39" s="21">
        <f t="shared" si="7"/>
        <v>100.67</v>
      </c>
      <c r="U39" s="26">
        <f t="shared" si="8"/>
        <v>198</v>
      </c>
      <c r="V39" s="26">
        <f t="shared" si="11"/>
        <v>198</v>
      </c>
      <c r="W39" s="27">
        <f t="shared" si="9"/>
        <v>56.25</v>
      </c>
      <c r="X39" s="28">
        <f t="shared" si="10"/>
        <v>56.25</v>
      </c>
      <c r="Y39" s="20" t="s">
        <v>102</v>
      </c>
      <c r="Z39" s="11"/>
      <c r="AA39" s="11"/>
      <c r="AB39" s="11"/>
      <c r="AC39" s="11"/>
      <c r="AD39" s="11"/>
    </row>
    <row r="40" ht="1.5" customHeight="1">
      <c r="A40" s="59"/>
      <c r="B40" s="59"/>
      <c r="C40" s="59"/>
      <c r="D40" s="12"/>
      <c r="E40" s="12"/>
      <c r="F40" s="59">
        <v>6.0</v>
      </c>
      <c r="G40" s="35" t="s">
        <v>157</v>
      </c>
      <c r="H40" s="35" t="s">
        <v>33</v>
      </c>
      <c r="I40" s="62" t="s">
        <v>165</v>
      </c>
      <c r="J40" s="35" t="s">
        <v>35</v>
      </c>
      <c r="K40" s="37"/>
      <c r="L40" s="37">
        <f t="shared" si="15"/>
        <v>0</v>
      </c>
      <c r="M40" s="22">
        <v>359.0</v>
      </c>
      <c r="N40" s="35">
        <v>1.0</v>
      </c>
      <c r="O40" s="37">
        <f t="shared" si="2"/>
        <v>0</v>
      </c>
      <c r="P40" s="38">
        <f t="shared" si="3"/>
        <v>0.08</v>
      </c>
      <c r="Q40" s="24">
        <f t="shared" si="4"/>
        <v>330</v>
      </c>
      <c r="R40" s="39">
        <f t="shared" si="5"/>
        <v>0.01</v>
      </c>
      <c r="S40" s="35">
        <f t="shared" si="6"/>
        <v>74</v>
      </c>
      <c r="T40" s="37">
        <f t="shared" si="7"/>
        <v>106.02</v>
      </c>
      <c r="U40" s="40">
        <f t="shared" si="8"/>
        <v>252</v>
      </c>
      <c r="V40" s="40">
        <f t="shared" si="11"/>
        <v>252</v>
      </c>
      <c r="W40" s="41">
        <f t="shared" si="9"/>
        <v>252</v>
      </c>
      <c r="X40" s="42">
        <f t="shared" si="10"/>
        <v>252</v>
      </c>
      <c r="Y40" s="35" t="s">
        <v>102</v>
      </c>
      <c r="Z40" s="11"/>
      <c r="AA40" s="11"/>
      <c r="AB40" s="11"/>
      <c r="AC40" s="11"/>
      <c r="AD40" s="11"/>
    </row>
    <row r="41" ht="24.75" hidden="1" customHeight="1">
      <c r="A41" s="59" t="s">
        <v>166</v>
      </c>
      <c r="B41" s="59">
        <v>1.41104110203E11</v>
      </c>
      <c r="C41" s="59" t="s">
        <v>167</v>
      </c>
      <c r="D41" s="68" t="s">
        <v>168</v>
      </c>
      <c r="E41" s="69" t="s">
        <v>156</v>
      </c>
      <c r="F41" s="59">
        <v>3.0</v>
      </c>
      <c r="G41" s="20" t="s">
        <v>157</v>
      </c>
      <c r="H41" s="20" t="s">
        <v>51</v>
      </c>
      <c r="I41" s="63" t="s">
        <v>169</v>
      </c>
      <c r="J41" s="20" t="s">
        <v>35</v>
      </c>
      <c r="K41" s="70">
        <v>9.0</v>
      </c>
      <c r="L41" s="21">
        <f t="shared" si="15"/>
        <v>28.35</v>
      </c>
      <c r="M41" s="22">
        <v>109.0</v>
      </c>
      <c r="N41" s="20">
        <v>1.0</v>
      </c>
      <c r="O41" s="21">
        <f t="shared" si="2"/>
        <v>28.35</v>
      </c>
      <c r="P41" s="23">
        <f t="shared" si="3"/>
        <v>0.08</v>
      </c>
      <c r="Q41" s="24">
        <f t="shared" si="4"/>
        <v>100</v>
      </c>
      <c r="R41" s="25">
        <f t="shared" si="5"/>
        <v>0.01</v>
      </c>
      <c r="S41" s="20">
        <f t="shared" si="6"/>
        <v>74</v>
      </c>
      <c r="T41" s="21">
        <f t="shared" si="7"/>
        <v>83.72</v>
      </c>
      <c r="U41" s="26">
        <f t="shared" si="8"/>
        <v>25</v>
      </c>
      <c r="V41" s="26">
        <f t="shared" si="11"/>
        <v>25</v>
      </c>
      <c r="W41" s="27">
        <f t="shared" si="9"/>
        <v>-3.35</v>
      </c>
      <c r="X41" s="28">
        <f t="shared" si="10"/>
        <v>-3.35</v>
      </c>
      <c r="Y41" s="20" t="s">
        <v>102</v>
      </c>
      <c r="Z41" s="11"/>
      <c r="AA41" s="11"/>
      <c r="AB41" s="11"/>
      <c r="AC41" s="11"/>
      <c r="AD41" s="11"/>
    </row>
    <row r="42" ht="24.75" customHeight="1">
      <c r="A42" s="59" t="s">
        <v>170</v>
      </c>
      <c r="B42" s="59">
        <v>1.41104110204E11</v>
      </c>
      <c r="C42" s="59" t="s">
        <v>171</v>
      </c>
      <c r="D42" s="49"/>
      <c r="E42" s="49"/>
      <c r="F42" s="59">
        <v>4.0</v>
      </c>
      <c r="G42" s="35" t="s">
        <v>157</v>
      </c>
      <c r="H42" s="35" t="s">
        <v>51</v>
      </c>
      <c r="I42" s="62" t="s">
        <v>172</v>
      </c>
      <c r="J42" s="35" t="s">
        <v>35</v>
      </c>
      <c r="K42" s="71">
        <v>9.0</v>
      </c>
      <c r="L42" s="37">
        <f t="shared" si="15"/>
        <v>37.8</v>
      </c>
      <c r="M42" s="22">
        <v>129.0</v>
      </c>
      <c r="N42" s="35">
        <v>1.0</v>
      </c>
      <c r="O42" s="37">
        <f t="shared" si="2"/>
        <v>37.8</v>
      </c>
      <c r="P42" s="38">
        <f t="shared" si="3"/>
        <v>0.08</v>
      </c>
      <c r="Q42" s="24">
        <f t="shared" si="4"/>
        <v>118</v>
      </c>
      <c r="R42" s="39">
        <f t="shared" si="5"/>
        <v>0.01</v>
      </c>
      <c r="S42" s="35">
        <f t="shared" si="6"/>
        <v>74</v>
      </c>
      <c r="T42" s="37">
        <f t="shared" si="7"/>
        <v>85.5</v>
      </c>
      <c r="U42" s="40">
        <f t="shared" si="8"/>
        <v>43</v>
      </c>
      <c r="V42" s="40">
        <f t="shared" si="11"/>
        <v>43</v>
      </c>
      <c r="W42" s="41">
        <f t="shared" si="9"/>
        <v>5.2</v>
      </c>
      <c r="X42" s="42">
        <f t="shared" si="10"/>
        <v>5.2</v>
      </c>
      <c r="Y42" s="35" t="s">
        <v>102</v>
      </c>
      <c r="Z42" s="11"/>
      <c r="AA42" s="11"/>
      <c r="AB42" s="11"/>
      <c r="AC42" s="11"/>
      <c r="AD42" s="11"/>
    </row>
    <row r="43" ht="24.75" customHeight="1">
      <c r="A43" s="59" t="s">
        <v>173</v>
      </c>
      <c r="B43" s="59">
        <v>1.41104110205E11</v>
      </c>
      <c r="C43" s="59" t="s">
        <v>174</v>
      </c>
      <c r="D43" s="45"/>
      <c r="E43" s="45"/>
      <c r="F43" s="59">
        <v>5.0</v>
      </c>
      <c r="G43" s="20" t="s">
        <v>157</v>
      </c>
      <c r="H43" s="20" t="s">
        <v>51</v>
      </c>
      <c r="I43" s="63" t="s">
        <v>175</v>
      </c>
      <c r="J43" s="20" t="s">
        <v>35</v>
      </c>
      <c r="K43" s="70">
        <v>9.0</v>
      </c>
      <c r="L43" s="21">
        <f t="shared" si="15"/>
        <v>47.25</v>
      </c>
      <c r="M43" s="22">
        <v>139.0</v>
      </c>
      <c r="N43" s="20">
        <v>1.0</v>
      </c>
      <c r="O43" s="21">
        <f t="shared" si="2"/>
        <v>47.25</v>
      </c>
      <c r="P43" s="23">
        <f t="shared" si="3"/>
        <v>0.08</v>
      </c>
      <c r="Q43" s="24">
        <f t="shared" si="4"/>
        <v>127</v>
      </c>
      <c r="R43" s="25">
        <f t="shared" si="5"/>
        <v>0.01</v>
      </c>
      <c r="S43" s="20">
        <f t="shared" si="6"/>
        <v>74</v>
      </c>
      <c r="T43" s="21">
        <f t="shared" si="7"/>
        <v>86.39</v>
      </c>
      <c r="U43" s="26">
        <f t="shared" si="8"/>
        <v>52</v>
      </c>
      <c r="V43" s="26">
        <f t="shared" si="11"/>
        <v>52</v>
      </c>
      <c r="W43" s="27">
        <f t="shared" si="9"/>
        <v>4.75</v>
      </c>
      <c r="X43" s="28">
        <f t="shared" si="10"/>
        <v>4.75</v>
      </c>
      <c r="Y43" s="20" t="s">
        <v>102</v>
      </c>
      <c r="Z43" s="11"/>
      <c r="AA43" s="11"/>
      <c r="AB43" s="11"/>
      <c r="AC43" s="11"/>
      <c r="AD43" s="11"/>
    </row>
    <row r="44" ht="24.75" hidden="1" customHeight="1">
      <c r="A44" s="59"/>
      <c r="B44" s="59"/>
      <c r="C44" s="72" t="s">
        <v>176</v>
      </c>
      <c r="D44" s="12"/>
      <c r="E44" s="12"/>
      <c r="F44" s="59">
        <v>6.0</v>
      </c>
      <c r="G44" s="35" t="s">
        <v>157</v>
      </c>
      <c r="H44" s="35" t="s">
        <v>51</v>
      </c>
      <c r="I44" s="62" t="s">
        <v>177</v>
      </c>
      <c r="J44" s="35" t="s">
        <v>35</v>
      </c>
      <c r="K44" s="71">
        <v>9.0</v>
      </c>
      <c r="L44" s="37">
        <f t="shared" si="15"/>
        <v>56.7</v>
      </c>
      <c r="M44" s="22">
        <v>159.0</v>
      </c>
      <c r="N44" s="35">
        <v>1.0</v>
      </c>
      <c r="O44" s="37">
        <f t="shared" si="2"/>
        <v>56.7</v>
      </c>
      <c r="P44" s="38">
        <f t="shared" si="3"/>
        <v>0.08</v>
      </c>
      <c r="Q44" s="24">
        <f t="shared" si="4"/>
        <v>146</v>
      </c>
      <c r="R44" s="39">
        <f t="shared" si="5"/>
        <v>0.01</v>
      </c>
      <c r="S44" s="35">
        <f t="shared" si="6"/>
        <v>74</v>
      </c>
      <c r="T44" s="37">
        <f t="shared" si="7"/>
        <v>88.18</v>
      </c>
      <c r="U44" s="40">
        <f t="shared" si="8"/>
        <v>70</v>
      </c>
      <c r="V44" s="40">
        <f t="shared" si="11"/>
        <v>70</v>
      </c>
      <c r="W44" s="41">
        <f t="shared" si="9"/>
        <v>13.3</v>
      </c>
      <c r="X44" s="42">
        <f t="shared" si="10"/>
        <v>13.3</v>
      </c>
      <c r="Y44" s="35" t="s">
        <v>102</v>
      </c>
      <c r="Z44" s="11"/>
      <c r="AA44" s="11"/>
      <c r="AB44" s="11"/>
      <c r="AC44" s="11"/>
      <c r="AD44" s="11"/>
    </row>
    <row r="45" ht="24.75" customHeight="1">
      <c r="A45" s="32" t="s">
        <v>178</v>
      </c>
      <c r="B45" s="32">
        <v>1.41103020105E11</v>
      </c>
      <c r="C45" s="32" t="s">
        <v>179</v>
      </c>
      <c r="D45" s="33" t="s">
        <v>180</v>
      </c>
      <c r="E45" s="34" t="s">
        <v>181</v>
      </c>
      <c r="F45" s="32">
        <v>5.0</v>
      </c>
      <c r="G45" s="20" t="s">
        <v>182</v>
      </c>
      <c r="H45" s="20" t="s">
        <v>33</v>
      </c>
      <c r="I45" s="63" t="s">
        <v>183</v>
      </c>
      <c r="J45" s="20" t="s">
        <v>35</v>
      </c>
      <c r="K45" s="21">
        <v>40.0</v>
      </c>
      <c r="L45" s="21">
        <f t="shared" si="15"/>
        <v>210</v>
      </c>
      <c r="M45" s="22">
        <v>469.0</v>
      </c>
      <c r="N45" s="20">
        <v>1.0</v>
      </c>
      <c r="O45" s="21">
        <f t="shared" si="2"/>
        <v>210</v>
      </c>
      <c r="P45" s="23">
        <f t="shared" si="3"/>
        <v>0.08</v>
      </c>
      <c r="Q45" s="24">
        <f t="shared" si="4"/>
        <v>431</v>
      </c>
      <c r="R45" s="25">
        <f t="shared" si="5"/>
        <v>0.01</v>
      </c>
      <c r="S45" s="20">
        <f t="shared" si="6"/>
        <v>74</v>
      </c>
      <c r="T45" s="21">
        <f t="shared" si="7"/>
        <v>115.83</v>
      </c>
      <c r="U45" s="26">
        <f t="shared" si="8"/>
        <v>353</v>
      </c>
      <c r="V45" s="26">
        <f t="shared" si="11"/>
        <v>353</v>
      </c>
      <c r="W45" s="27">
        <f t="shared" si="9"/>
        <v>143</v>
      </c>
      <c r="X45" s="28">
        <f t="shared" si="10"/>
        <v>143</v>
      </c>
      <c r="Y45" s="20" t="s">
        <v>36</v>
      </c>
      <c r="Z45" s="11"/>
      <c r="AA45" s="11"/>
      <c r="AB45" s="11"/>
      <c r="AC45" s="11"/>
      <c r="AD45" s="11"/>
    </row>
    <row r="46" ht="24.75" customHeight="1">
      <c r="A46" s="32" t="s">
        <v>184</v>
      </c>
      <c r="B46" s="32">
        <v>1.41103020106E11</v>
      </c>
      <c r="C46" s="32" t="s">
        <v>185</v>
      </c>
      <c r="D46" s="49"/>
      <c r="E46" s="49"/>
      <c r="F46" s="32">
        <v>6.0</v>
      </c>
      <c r="G46" s="35" t="s">
        <v>182</v>
      </c>
      <c r="H46" s="35" t="s">
        <v>33</v>
      </c>
      <c r="I46" s="73" t="s">
        <v>186</v>
      </c>
      <c r="J46" s="35" t="s">
        <v>35</v>
      </c>
      <c r="K46" s="37">
        <v>40.0</v>
      </c>
      <c r="L46" s="37">
        <f t="shared" si="15"/>
        <v>252</v>
      </c>
      <c r="M46" s="22">
        <v>549.0</v>
      </c>
      <c r="N46" s="35">
        <v>1.0</v>
      </c>
      <c r="O46" s="37">
        <f t="shared" si="2"/>
        <v>252</v>
      </c>
      <c r="P46" s="38">
        <f t="shared" si="3"/>
        <v>0.08</v>
      </c>
      <c r="Q46" s="24">
        <f t="shared" si="4"/>
        <v>505</v>
      </c>
      <c r="R46" s="39">
        <f t="shared" si="5"/>
        <v>0.01</v>
      </c>
      <c r="S46" s="35">
        <f t="shared" si="6"/>
        <v>74</v>
      </c>
      <c r="T46" s="37">
        <f t="shared" si="7"/>
        <v>122.97</v>
      </c>
      <c r="U46" s="40">
        <f t="shared" si="8"/>
        <v>426</v>
      </c>
      <c r="V46" s="40">
        <f t="shared" si="11"/>
        <v>426</v>
      </c>
      <c r="W46" s="41">
        <f t="shared" si="9"/>
        <v>174</v>
      </c>
      <c r="X46" s="42">
        <f t="shared" si="10"/>
        <v>174</v>
      </c>
      <c r="Y46" s="35" t="s">
        <v>36</v>
      </c>
      <c r="Z46" s="11"/>
      <c r="AA46" s="11"/>
      <c r="AB46" s="11"/>
      <c r="AC46" s="11"/>
      <c r="AD46" s="11"/>
    </row>
    <row r="47" ht="24.75" customHeight="1">
      <c r="A47" s="32" t="s">
        <v>187</v>
      </c>
      <c r="B47" s="32">
        <v>1.41103020107E11</v>
      </c>
      <c r="C47" s="32" t="s">
        <v>188</v>
      </c>
      <c r="D47" s="45"/>
      <c r="E47" s="45"/>
      <c r="F47" s="32">
        <v>7.0</v>
      </c>
      <c r="G47" s="20" t="s">
        <v>182</v>
      </c>
      <c r="H47" s="20" t="s">
        <v>33</v>
      </c>
      <c r="I47" s="63" t="s">
        <v>189</v>
      </c>
      <c r="J47" s="20" t="s">
        <v>35</v>
      </c>
      <c r="K47" s="21">
        <v>40.0</v>
      </c>
      <c r="L47" s="21">
        <f t="shared" si="15"/>
        <v>294</v>
      </c>
      <c r="M47" s="22">
        <v>629.0</v>
      </c>
      <c r="N47" s="20">
        <v>1.0</v>
      </c>
      <c r="O47" s="21">
        <f t="shared" si="2"/>
        <v>294</v>
      </c>
      <c r="P47" s="23">
        <f t="shared" si="3"/>
        <v>0.08</v>
      </c>
      <c r="Q47" s="24">
        <f t="shared" si="4"/>
        <v>578</v>
      </c>
      <c r="R47" s="25">
        <f t="shared" si="5"/>
        <v>0.01</v>
      </c>
      <c r="S47" s="20">
        <f t="shared" si="6"/>
        <v>74</v>
      </c>
      <c r="T47" s="21">
        <f t="shared" si="7"/>
        <v>130.1</v>
      </c>
      <c r="U47" s="26">
        <f t="shared" si="8"/>
        <v>498</v>
      </c>
      <c r="V47" s="26">
        <f t="shared" si="11"/>
        <v>498</v>
      </c>
      <c r="W47" s="27">
        <f t="shared" si="9"/>
        <v>204</v>
      </c>
      <c r="X47" s="28">
        <f t="shared" si="10"/>
        <v>204</v>
      </c>
      <c r="Y47" s="20" t="s">
        <v>36</v>
      </c>
      <c r="Z47" s="11"/>
      <c r="AA47" s="11"/>
      <c r="AB47" s="11"/>
      <c r="AC47" s="11"/>
      <c r="AD47" s="11"/>
    </row>
    <row r="48" ht="1.5" customHeight="1">
      <c r="A48" s="74"/>
      <c r="B48" s="74"/>
      <c r="C48" s="74"/>
      <c r="D48" s="12"/>
      <c r="E48" s="12"/>
      <c r="F48" s="74">
        <v>8.0</v>
      </c>
      <c r="G48" s="35" t="s">
        <v>182</v>
      </c>
      <c r="H48" s="35" t="s">
        <v>33</v>
      </c>
      <c r="I48" s="62" t="s">
        <v>190</v>
      </c>
      <c r="J48" s="35" t="s">
        <v>35</v>
      </c>
      <c r="K48" s="37"/>
      <c r="L48" s="37">
        <f>40*F48</f>
        <v>320</v>
      </c>
      <c r="M48" s="22">
        <v>709.0</v>
      </c>
      <c r="N48" s="35">
        <v>1.0</v>
      </c>
      <c r="O48" s="37">
        <f t="shared" si="2"/>
        <v>320</v>
      </c>
      <c r="P48" s="38">
        <f t="shared" si="3"/>
        <v>0.08</v>
      </c>
      <c r="Q48" s="24">
        <f t="shared" si="4"/>
        <v>652</v>
      </c>
      <c r="R48" s="39">
        <f t="shared" si="5"/>
        <v>0.01</v>
      </c>
      <c r="S48" s="35">
        <f t="shared" si="6"/>
        <v>74</v>
      </c>
      <c r="T48" s="37">
        <f t="shared" si="7"/>
        <v>137.24</v>
      </c>
      <c r="U48" s="40">
        <f t="shared" si="8"/>
        <v>571</v>
      </c>
      <c r="V48" s="40">
        <f t="shared" si="11"/>
        <v>571</v>
      </c>
      <c r="W48" s="41">
        <f t="shared" si="9"/>
        <v>251</v>
      </c>
      <c r="X48" s="42">
        <f t="shared" si="10"/>
        <v>251</v>
      </c>
      <c r="Y48" s="35"/>
      <c r="Z48" s="11"/>
      <c r="AA48" s="11"/>
      <c r="AB48" s="11"/>
      <c r="AC48" s="11"/>
      <c r="AD48" s="11"/>
    </row>
    <row r="49" ht="24.75" customHeight="1">
      <c r="A49" s="75"/>
      <c r="B49" s="75"/>
      <c r="C49" s="75"/>
      <c r="D49" s="75" t="s">
        <v>191</v>
      </c>
      <c r="E49" s="75"/>
      <c r="F49" s="75"/>
      <c r="G49" s="75"/>
      <c r="H49" s="75"/>
      <c r="I49" s="75"/>
      <c r="J49" s="75"/>
      <c r="K49" s="75"/>
      <c r="L49" s="75"/>
      <c r="M49" s="76">
        <f t="shared" ref="M49:N49" si="16">SUM(M4:M47)</f>
        <v>14171</v>
      </c>
      <c r="N49" s="75">
        <f t="shared" si="16"/>
        <v>44</v>
      </c>
      <c r="O49" s="76">
        <f>SUM(O4:O48)</f>
        <v>4612.45</v>
      </c>
      <c r="P49" s="77">
        <f>P47</f>
        <v>0.08</v>
      </c>
      <c r="Q49" s="78">
        <f>SUM(Q4:Q48)</f>
        <v>13669</v>
      </c>
      <c r="R49" s="79">
        <f>R47</f>
        <v>0.01</v>
      </c>
      <c r="S49" s="75">
        <f>SUM(S3:S48)</f>
        <v>3330</v>
      </c>
      <c r="T49" s="76">
        <f t="shared" si="7"/>
        <v>4600.37</v>
      </c>
      <c r="U49" s="80">
        <f t="shared" si="8"/>
        <v>217.5</v>
      </c>
      <c r="V49" s="80">
        <f t="shared" si="11"/>
        <v>9570</v>
      </c>
      <c r="W49" s="81">
        <f t="shared" si="9"/>
        <v>126.9897727</v>
      </c>
      <c r="X49" s="76">
        <f>SUM(X4:X48)</f>
        <v>5587.55</v>
      </c>
      <c r="Y49" s="75"/>
      <c r="Z49" s="11"/>
      <c r="AA49" s="11"/>
      <c r="AB49" s="11"/>
      <c r="AC49" s="11"/>
      <c r="AD49" s="11"/>
    </row>
  </sheetData>
  <autoFilter ref="$D$3:$AD$49"/>
  <mergeCells count="51">
    <mergeCell ref="E37:E40"/>
    <mergeCell ref="E41:E44"/>
    <mergeCell ref="D45:D48"/>
    <mergeCell ref="E45:E48"/>
    <mergeCell ref="E18:E20"/>
    <mergeCell ref="E21:E22"/>
    <mergeCell ref="E23:E24"/>
    <mergeCell ref="E25:E26"/>
    <mergeCell ref="E27:E29"/>
    <mergeCell ref="E30:E32"/>
    <mergeCell ref="E33:E36"/>
    <mergeCell ref="H1:H2"/>
    <mergeCell ref="I1:I2"/>
    <mergeCell ref="J1:J2"/>
    <mergeCell ref="K1:K2"/>
    <mergeCell ref="L1:L2"/>
    <mergeCell ref="M1:M2"/>
    <mergeCell ref="N1:N2"/>
    <mergeCell ref="Y1:Y2"/>
    <mergeCell ref="Z1:Z2"/>
    <mergeCell ref="AA1:AC1"/>
    <mergeCell ref="O1:O2"/>
    <mergeCell ref="P1:S1"/>
    <mergeCell ref="T1:T2"/>
    <mergeCell ref="U1:U2"/>
    <mergeCell ref="V1:V2"/>
    <mergeCell ref="W1:W2"/>
    <mergeCell ref="X1:X2"/>
    <mergeCell ref="A1:A2"/>
    <mergeCell ref="B1:B2"/>
    <mergeCell ref="C1:C2"/>
    <mergeCell ref="D1:D2"/>
    <mergeCell ref="E1:E2"/>
    <mergeCell ref="F1:F2"/>
    <mergeCell ref="G1:G2"/>
    <mergeCell ref="D4:D7"/>
    <mergeCell ref="E4:E7"/>
    <mergeCell ref="D8:D10"/>
    <mergeCell ref="E8:E10"/>
    <mergeCell ref="D12:D14"/>
    <mergeCell ref="E12:E14"/>
    <mergeCell ref="E15:E17"/>
    <mergeCell ref="D37:D40"/>
    <mergeCell ref="D41:D44"/>
    <mergeCell ref="D15:D17"/>
    <mergeCell ref="D18:D20"/>
    <mergeCell ref="D23:D24"/>
    <mergeCell ref="D25:D26"/>
    <mergeCell ref="D27:D29"/>
    <mergeCell ref="D30:D32"/>
    <mergeCell ref="D33:D36"/>
  </mergeCells>
  <conditionalFormatting sqref="X1:X48 Y1:Y2">
    <cfRule type="cellIs" dxfId="1" priority="1" operator="lessThan">
      <formula>0</formula>
    </cfRule>
  </conditionalFormatting>
  <conditionalFormatting sqref="P3:P49">
    <cfRule type="expression" dxfId="2" priority="2">
      <formula>IF(P3=XLOOKUP(J3,Z:Z,AA:AA),FALSE,TRUE)</formula>
    </cfRule>
  </conditionalFormatting>
  <conditionalFormatting sqref="S3:S49 Y49">
    <cfRule type="expression" dxfId="3" priority="3">
      <formula>IF(S3=XLOOKUP(J3,Z:Z,AC:AC),FALSE,TRUE)</formula>
    </cfRule>
  </conditionalFormatting>
  <dataValidations>
    <dataValidation type="list" allowBlank="1" showErrorMessage="1" sqref="J25:J33">
      <formula1>'PC_東南亞＿實體卡試算'!$AA$4:$AA$21</formula1>
    </dataValidation>
    <dataValidation type="list" allowBlank="1" showErrorMessage="1" sqref="I3:J3 J4:J24 J34:J48">
      <formula1>'PC叫貨表1'!$Z$4:$Z$21</formula1>
    </dataValidation>
  </dataValidations>
  <hyperlinks>
    <hyperlink r:id="rId1" ref="I4"/>
    <hyperlink r:id="rId2" ref="I5"/>
    <hyperlink r:id="rId3" ref="I6"/>
    <hyperlink r:id="rId4" ref="I7"/>
    <hyperlink r:id="rId5" ref="I8"/>
    <hyperlink r:id="rId6" ref="I9"/>
    <hyperlink r:id="rId7" ref="I10"/>
    <hyperlink r:id="rId8" ref="I11"/>
    <hyperlink r:id="rId9" ref="I12"/>
    <hyperlink r:id="rId10" ref="I13"/>
    <hyperlink r:id="rId11" ref="I14"/>
    <hyperlink r:id="rId12" ref="I15"/>
    <hyperlink r:id="rId13" ref="I16"/>
    <hyperlink r:id="rId14" ref="I17"/>
    <hyperlink r:id="rId15" ref="I18"/>
    <hyperlink r:id="rId16" ref="I19"/>
    <hyperlink r:id="rId17" ref="I20"/>
    <hyperlink r:id="rId18" ref="I21"/>
    <hyperlink r:id="rId19" ref="I22"/>
    <hyperlink r:id="rId20" ref="I23"/>
    <hyperlink r:id="rId21" ref="I24"/>
    <hyperlink r:id="rId22" ref="I25"/>
    <hyperlink r:id="rId23" ref="I26"/>
    <hyperlink r:id="rId24" ref="I27"/>
    <hyperlink r:id="rId25" ref="I28"/>
    <hyperlink r:id="rId26" ref="I29"/>
    <hyperlink r:id="rId27" ref="I30"/>
    <hyperlink r:id="rId28" ref="I31"/>
    <hyperlink r:id="rId29" ref="I32"/>
    <hyperlink r:id="rId30" ref="I33"/>
    <hyperlink r:id="rId31" ref="I34"/>
    <hyperlink r:id="rId32" ref="I35"/>
    <hyperlink r:id="rId33" ref="I36"/>
    <hyperlink r:id="rId34" ref="I37"/>
    <hyperlink r:id="rId35" ref="I38"/>
    <hyperlink r:id="rId36" ref="I39"/>
    <hyperlink r:id="rId37" ref="I40"/>
    <hyperlink r:id="rId38" ref="I41"/>
    <hyperlink r:id="rId39" ref="I42"/>
    <hyperlink r:id="rId40" ref="I43"/>
    <hyperlink r:id="rId41" ref="I44"/>
    <hyperlink r:id="rId42" ref="I45"/>
    <hyperlink r:id="rId43" ref="I46"/>
    <hyperlink r:id="rId44" ref="I47"/>
    <hyperlink r:id="rId45" ref="I48"/>
  </hyperlinks>
  <drawing r:id="rId46"/>
</worksheet>
</file>